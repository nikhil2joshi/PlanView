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566317\git\PlanView\PlanView\"/>
    </mc:Choice>
  </mc:AlternateContent>
  <xr:revisionPtr revIDLastSave="0" documentId="13_ncr:1_{F10A12F3-028A-4554-AEEF-B9C3CD36C93D}" xr6:coauthVersionLast="47" xr6:coauthVersionMax="47" xr10:uidLastSave="{00000000-0000-0000-0000-000000000000}"/>
  <bookViews>
    <workbookView xWindow="-108" yWindow="-108" windowWidth="23256" windowHeight="12576" tabRatio="839" xr2:uid="{E3E5BEC3-8EF3-422A-B8FE-687D5C96D95D}"/>
  </bookViews>
  <sheets>
    <sheet name="Master" sheetId="12" r:id="rId1"/>
    <sheet name="Index" sheetId="1" r:id="rId2"/>
    <sheet name="Sumant Nandanwadkar" sheetId="11" r:id="rId3"/>
    <sheet name="Nikhil Joshi" sheetId="10" r:id="rId4"/>
    <sheet name="Nikhil Dhepe" sheetId="9" r:id="rId5"/>
    <sheet name="Supriya Kshirsagar Joshi" sheetId="8" r:id="rId6"/>
    <sheet name="Purva Ghag" sheetId="7" r:id="rId7"/>
    <sheet name="Sapana Gawande" sheetId="6" r:id="rId8"/>
    <sheet name="Sachin Shet" sheetId="5" r:id="rId9"/>
    <sheet name="Amit Sinha" sheetId="4" r:id="rId10"/>
    <sheet name="YC" sheetId="3" r:id="rId11"/>
    <sheet name="TBA" sheetId="2" r:id="rId12"/>
  </sheets>
  <definedNames>
    <definedName name="Names">Index!$A$1:$A$14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" i="2" l="1"/>
  <c r="G2" i="2" s="1"/>
  <c r="I3" i="2"/>
  <c r="G3" i="2" s="1"/>
  <c r="I4" i="2"/>
  <c r="G4" i="2" s="1"/>
  <c r="I5" i="2"/>
  <c r="G5" i="2" s="1"/>
  <c r="I6" i="2"/>
  <c r="G6" i="2" s="1"/>
  <c r="I7" i="2"/>
  <c r="G7" i="2" s="1"/>
  <c r="I8" i="2"/>
  <c r="G8" i="2" s="1"/>
  <c r="I9" i="2"/>
  <c r="G9" i="2" s="1"/>
  <c r="I10" i="2"/>
  <c r="G10" i="2" s="1"/>
  <c r="I11" i="2"/>
  <c r="G11" i="2" s="1"/>
  <c r="I12" i="2"/>
  <c r="G12" i="2" s="1"/>
  <c r="H12" i="2"/>
  <c r="H11" i="2"/>
  <c r="H10" i="2"/>
  <c r="H9" i="2"/>
  <c r="H8" i="2"/>
  <c r="H7" i="2"/>
  <c r="H6" i="2"/>
  <c r="H5" i="2"/>
  <c r="H4" i="2"/>
  <c r="H3" i="2"/>
  <c r="H2" i="2"/>
  <c r="I2" i="3"/>
  <c r="G2" i="3" s="1"/>
  <c r="I3" i="3"/>
  <c r="G3" i="3" s="1"/>
  <c r="I4" i="3"/>
  <c r="G4" i="3" s="1"/>
  <c r="I5" i="3"/>
  <c r="G5" i="3" s="1"/>
  <c r="I6" i="3"/>
  <c r="G6" i="3" s="1"/>
  <c r="I7" i="3"/>
  <c r="G7" i="3" s="1"/>
  <c r="I8" i="3"/>
  <c r="G8" i="3" s="1"/>
  <c r="I9" i="3"/>
  <c r="G9" i="3" s="1"/>
  <c r="I10" i="3"/>
  <c r="G10" i="3" s="1"/>
  <c r="I11" i="3"/>
  <c r="G11" i="3" s="1"/>
  <c r="I12" i="3"/>
  <c r="G12" i="3" s="1"/>
  <c r="H12" i="3"/>
  <c r="H11" i="3"/>
  <c r="H10" i="3"/>
  <c r="H9" i="3"/>
  <c r="H8" i="3"/>
  <c r="H7" i="3"/>
  <c r="H6" i="3"/>
  <c r="H5" i="3"/>
  <c r="H4" i="3"/>
  <c r="H3" i="3"/>
  <c r="H2" i="3"/>
  <c r="I2" i="4"/>
  <c r="G2" i="4" s="1"/>
  <c r="I3" i="4"/>
  <c r="G3" i="4" s="1"/>
  <c r="I4" i="4"/>
  <c r="G4" i="4" s="1"/>
  <c r="I5" i="4"/>
  <c r="G5" i="4" s="1"/>
  <c r="I6" i="4"/>
  <c r="G6" i="4" s="1"/>
  <c r="I7" i="4"/>
  <c r="G7" i="4" s="1"/>
  <c r="I8" i="4"/>
  <c r="G8" i="4" s="1"/>
  <c r="I9" i="4"/>
  <c r="G9" i="4" s="1"/>
  <c r="I10" i="4"/>
  <c r="G10" i="4" s="1"/>
  <c r="I11" i="4"/>
  <c r="G11" i="4" s="1"/>
  <c r="I12" i="4"/>
  <c r="G12" i="4" s="1"/>
  <c r="H12" i="4"/>
  <c r="H11" i="4"/>
  <c r="H10" i="4"/>
  <c r="H9" i="4"/>
  <c r="H8" i="4"/>
  <c r="H7" i="4"/>
  <c r="H6" i="4"/>
  <c r="H5" i="4"/>
  <c r="H4" i="4"/>
  <c r="H3" i="4"/>
  <c r="H2" i="4"/>
  <c r="G5" i="5"/>
  <c r="I2" i="5"/>
  <c r="G2" i="5" s="1"/>
  <c r="I3" i="5"/>
  <c r="G3" i="5" s="1"/>
  <c r="I4" i="5"/>
  <c r="G4" i="5" s="1"/>
  <c r="I5" i="5"/>
  <c r="I6" i="5"/>
  <c r="G6" i="5" s="1"/>
  <c r="I7" i="5"/>
  <c r="G7" i="5" s="1"/>
  <c r="I8" i="5"/>
  <c r="G8" i="5" s="1"/>
  <c r="I9" i="5"/>
  <c r="G9" i="5" s="1"/>
  <c r="I10" i="5"/>
  <c r="G10" i="5" s="1"/>
  <c r="I11" i="5"/>
  <c r="G11" i="5" s="1"/>
  <c r="I12" i="5"/>
  <c r="G12" i="5" s="1"/>
  <c r="H12" i="5"/>
  <c r="H11" i="5"/>
  <c r="H10" i="5"/>
  <c r="H9" i="5"/>
  <c r="H8" i="5"/>
  <c r="H7" i="5"/>
  <c r="H6" i="5"/>
  <c r="H5" i="5"/>
  <c r="H4" i="5"/>
  <c r="H3" i="5"/>
  <c r="H2" i="5"/>
  <c r="G4" i="6"/>
  <c r="G6" i="6"/>
  <c r="G12" i="6"/>
  <c r="I2" i="6"/>
  <c r="G2" i="6" s="1"/>
  <c r="I3" i="6"/>
  <c r="G3" i="6" s="1"/>
  <c r="I4" i="6"/>
  <c r="I5" i="6"/>
  <c r="G5" i="6" s="1"/>
  <c r="I6" i="6"/>
  <c r="I7" i="6"/>
  <c r="G7" i="6" s="1"/>
  <c r="I8" i="6"/>
  <c r="G8" i="6" s="1"/>
  <c r="I9" i="6"/>
  <c r="G9" i="6" s="1"/>
  <c r="I10" i="6"/>
  <c r="G10" i="6" s="1"/>
  <c r="I11" i="6"/>
  <c r="G11" i="6" s="1"/>
  <c r="I12" i="6"/>
  <c r="H12" i="6"/>
  <c r="H11" i="6"/>
  <c r="H10" i="6"/>
  <c r="H9" i="6"/>
  <c r="H8" i="6"/>
  <c r="H7" i="6"/>
  <c r="H6" i="6"/>
  <c r="H5" i="6"/>
  <c r="H4" i="6"/>
  <c r="H3" i="6"/>
  <c r="H2" i="6"/>
  <c r="G3" i="7"/>
  <c r="G5" i="7"/>
  <c r="I2" i="7"/>
  <c r="G2" i="7" s="1"/>
  <c r="I3" i="7"/>
  <c r="I4" i="7"/>
  <c r="G4" i="7" s="1"/>
  <c r="I5" i="7"/>
  <c r="I6" i="7"/>
  <c r="G6" i="7" s="1"/>
  <c r="I7" i="7"/>
  <c r="G7" i="7" s="1"/>
  <c r="I8" i="7"/>
  <c r="G8" i="7" s="1"/>
  <c r="I9" i="7"/>
  <c r="G9" i="7" s="1"/>
  <c r="I10" i="7"/>
  <c r="G10" i="7" s="1"/>
  <c r="I11" i="7"/>
  <c r="G11" i="7" s="1"/>
  <c r="I12" i="7"/>
  <c r="G12" i="7" s="1"/>
  <c r="H12" i="7"/>
  <c r="H11" i="7"/>
  <c r="H10" i="7"/>
  <c r="H9" i="7"/>
  <c r="H8" i="7"/>
  <c r="H7" i="7"/>
  <c r="H6" i="7"/>
  <c r="H5" i="7"/>
  <c r="H4" i="7"/>
  <c r="H3" i="7"/>
  <c r="H2" i="7"/>
  <c r="G8" i="8"/>
  <c r="I2" i="8"/>
  <c r="G2" i="8" s="1"/>
  <c r="I3" i="8"/>
  <c r="G3" i="8" s="1"/>
  <c r="I4" i="8"/>
  <c r="G4" i="8" s="1"/>
  <c r="I5" i="8"/>
  <c r="G5" i="8" s="1"/>
  <c r="I6" i="8"/>
  <c r="G6" i="8" s="1"/>
  <c r="I7" i="8"/>
  <c r="G7" i="8" s="1"/>
  <c r="I8" i="8"/>
  <c r="I9" i="8"/>
  <c r="G9" i="8" s="1"/>
  <c r="I10" i="8"/>
  <c r="G10" i="8" s="1"/>
  <c r="I11" i="8"/>
  <c r="G11" i="8" s="1"/>
  <c r="I12" i="8"/>
  <c r="G12" i="8" s="1"/>
  <c r="H12" i="8"/>
  <c r="H11" i="8"/>
  <c r="H10" i="8"/>
  <c r="H9" i="8"/>
  <c r="H8" i="8"/>
  <c r="H7" i="8"/>
  <c r="H6" i="8"/>
  <c r="H5" i="8"/>
  <c r="H4" i="8"/>
  <c r="H3" i="8"/>
  <c r="H2" i="8"/>
  <c r="G3" i="9"/>
  <c r="G11" i="9"/>
  <c r="I2" i="9"/>
  <c r="G2" i="9" s="1"/>
  <c r="I3" i="9"/>
  <c r="I4" i="9"/>
  <c r="G4" i="9" s="1"/>
  <c r="I5" i="9"/>
  <c r="G5" i="9" s="1"/>
  <c r="I6" i="9"/>
  <c r="G6" i="9" s="1"/>
  <c r="I7" i="9"/>
  <c r="G7" i="9" s="1"/>
  <c r="I8" i="9"/>
  <c r="G8" i="9" s="1"/>
  <c r="I9" i="9"/>
  <c r="G9" i="9" s="1"/>
  <c r="I10" i="9"/>
  <c r="G10" i="9" s="1"/>
  <c r="I11" i="9"/>
  <c r="I12" i="9"/>
  <c r="G12" i="9" s="1"/>
  <c r="H12" i="9"/>
  <c r="H11" i="9"/>
  <c r="H10" i="9"/>
  <c r="H9" i="9"/>
  <c r="H8" i="9"/>
  <c r="H7" i="9"/>
  <c r="H6" i="9"/>
  <c r="H5" i="9"/>
  <c r="H4" i="9"/>
  <c r="H3" i="9"/>
  <c r="H2" i="9"/>
  <c r="G6" i="10"/>
  <c r="I2" i="10"/>
  <c r="G2" i="10" s="1"/>
  <c r="I3" i="10"/>
  <c r="G3" i="10" s="1"/>
  <c r="I4" i="10"/>
  <c r="G4" i="10" s="1"/>
  <c r="I5" i="10"/>
  <c r="G5" i="10" s="1"/>
  <c r="I6" i="10"/>
  <c r="I7" i="10"/>
  <c r="G7" i="10" s="1"/>
  <c r="I8" i="10"/>
  <c r="G8" i="10" s="1"/>
  <c r="I9" i="10"/>
  <c r="G9" i="10" s="1"/>
  <c r="I10" i="10"/>
  <c r="G10" i="10" s="1"/>
  <c r="I11" i="10"/>
  <c r="G11" i="10" s="1"/>
  <c r="I12" i="10"/>
  <c r="G12" i="10" s="1"/>
  <c r="H12" i="10"/>
  <c r="H11" i="10"/>
  <c r="H10" i="10"/>
  <c r="H9" i="10"/>
  <c r="H8" i="10"/>
  <c r="H7" i="10"/>
  <c r="H6" i="10"/>
  <c r="H5" i="10"/>
  <c r="H4" i="10"/>
  <c r="H3" i="10"/>
  <c r="H2" i="10"/>
  <c r="G5" i="11"/>
  <c r="I2" i="11"/>
  <c r="G2" i="11" s="1"/>
  <c r="I3" i="11"/>
  <c r="G3" i="11" s="1"/>
  <c r="I4" i="11"/>
  <c r="G4" i="11" s="1"/>
  <c r="I5" i="11"/>
  <c r="I6" i="11"/>
  <c r="G6" i="11" s="1"/>
  <c r="I7" i="11"/>
  <c r="G7" i="11" s="1"/>
  <c r="I8" i="11"/>
  <c r="G8" i="11" s="1"/>
  <c r="I9" i="11"/>
  <c r="G9" i="11" s="1"/>
  <c r="I10" i="11"/>
  <c r="G10" i="11" s="1"/>
  <c r="I11" i="11"/>
  <c r="G11" i="11" s="1"/>
  <c r="I12" i="11"/>
  <c r="G12" i="11" s="1"/>
  <c r="H12" i="11"/>
  <c r="H11" i="11"/>
  <c r="H10" i="11"/>
  <c r="H9" i="11"/>
  <c r="H8" i="11"/>
  <c r="H7" i="11"/>
  <c r="H6" i="11"/>
  <c r="H5" i="11"/>
  <c r="H4" i="11"/>
  <c r="H3" i="11"/>
  <c r="H2" i="1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3" i="1"/>
  <c r="K4" i="1"/>
  <c r="K5" i="1"/>
  <c r="K6" i="1"/>
  <c r="K7" i="1"/>
  <c r="K8" i="1"/>
  <c r="K9" i="1"/>
  <c r="K10" i="1"/>
  <c r="K11" i="1"/>
  <c r="K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Nandanwadkar, Sumant</author>
  </authors>
  <commentList>
    <comment ref="C2" authorId="0" shapeId="0" xr:uid="{856B072F-CF29-44DC-8372-1CC49B1F0E22}">
      <text>
        <r>
          <rPr>
            <sz val="9"/>
            <color indexed="81"/>
            <rFont val="Tahoma"/>
            <family val="2"/>
          </rPr>
          <t>Maximum length =36</t>
        </r>
      </text>
    </comment>
    <comment ref="D2" authorId="0" shapeId="0" xr:uid="{CA642332-3C42-4980-877E-77B2E31D6E1E}">
      <text>
        <r>
          <rPr>
            <sz val="9"/>
            <color indexed="81"/>
            <rFont val="Tahoma"/>
            <family val="2"/>
          </rPr>
          <t xml:space="preserve">Date Format should be 
</t>
        </r>
        <r>
          <rPr>
            <b/>
            <sz val="9"/>
            <color indexed="81"/>
            <rFont val="Tahoma"/>
            <family val="2"/>
          </rPr>
          <t>DD-MM-YYYY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" authorId="0" shapeId="0" xr:uid="{D6C015BD-05A9-480E-8B35-223C9D050D5C}">
      <text>
        <r>
          <rPr>
            <sz val="9"/>
            <color indexed="81"/>
            <rFont val="Tahoma"/>
            <family val="2"/>
          </rPr>
          <t xml:space="preserve">Date Format should be </t>
        </r>
        <r>
          <rPr>
            <b/>
            <sz val="9"/>
            <color indexed="81"/>
            <rFont val="Tahoma"/>
            <family val="2"/>
          </rPr>
          <t xml:space="preserve">
DD-MM-YYYY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Nandanwadkar, Sumant</author>
  </authors>
  <commentList>
    <comment ref="A1" authorId="0" shapeId="0" xr:uid="{4B58D865-A4F2-4E3F-AE0F-F2892B5F4168}">
      <text>
        <r>
          <rPr>
            <sz val="9"/>
            <color indexed="81"/>
            <rFont val="Tahoma"/>
            <family val="2"/>
          </rPr>
          <t>Mention the value exactly as it appears in Plan view</t>
        </r>
      </text>
    </comment>
    <comment ref="G1" authorId="0" shapeId="0" xr:uid="{3C522379-6A34-41BF-A5E0-6881CA18B450}">
      <text>
        <r>
          <rPr>
            <sz val="9"/>
            <color indexed="81"/>
            <rFont val="Tahoma"/>
            <family val="2"/>
          </rPr>
          <t>Maximum length =36</t>
        </r>
      </text>
    </comment>
    <comment ref="H1" authorId="0" shapeId="0" xr:uid="{723DE659-D8E4-4683-9275-5F4C7949D94D}">
      <text>
        <r>
          <rPr>
            <sz val="9"/>
            <color indexed="81"/>
            <rFont val="Tahoma"/>
            <family val="2"/>
          </rPr>
          <t xml:space="preserve">Date Format should be 
</t>
        </r>
        <r>
          <rPr>
            <b/>
            <sz val="9"/>
            <color indexed="81"/>
            <rFont val="Tahoma"/>
            <family val="2"/>
          </rPr>
          <t>DD-MM-YYYY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" authorId="0" shapeId="0" xr:uid="{34068DC4-4FB5-46AB-A970-62081DFAC8C9}">
      <text>
        <r>
          <rPr>
            <sz val="9"/>
            <color indexed="81"/>
            <rFont val="Tahoma"/>
            <family val="2"/>
          </rPr>
          <t xml:space="preserve">Date Format should be </t>
        </r>
        <r>
          <rPr>
            <b/>
            <sz val="9"/>
            <color indexed="81"/>
            <rFont val="Tahoma"/>
            <family val="2"/>
          </rPr>
          <t xml:space="preserve">
DD-MM-YYYY</t>
        </r>
      </text>
    </comment>
    <comment ref="N1" authorId="0" shapeId="0" xr:uid="{CC2C8619-6F72-472C-A3EF-A7EAE95D8D40}">
      <text>
        <r>
          <rPr>
            <sz val="9"/>
            <color indexed="81"/>
            <rFont val="Tahoma"/>
            <family val="2"/>
          </rPr>
          <t>Mention Identifier for GCM to be used in this document</t>
        </r>
      </text>
    </comment>
    <comment ref="O1" authorId="0" shapeId="0" xr:uid="{FC89FEC8-19B3-4724-8F0D-0E3F8200B1B8}">
      <text>
        <r>
          <rPr>
            <sz val="9"/>
            <color indexed="81"/>
            <rFont val="Tahoma"/>
            <family val="2"/>
          </rPr>
          <t xml:space="preserve">Mention the value exactly as it appears in Plan view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Nandanwadkar, Sumant</author>
  </authors>
  <commentList>
    <comment ref="D1" authorId="0" shapeId="0" xr:uid="{2A1099EC-0061-4A81-8128-4E5D45C5E995}">
      <text>
        <r>
          <rPr>
            <sz val="9"/>
            <color indexed="81"/>
            <rFont val="Tahoma"/>
            <family val="2"/>
          </rPr>
          <t>Maximum length =36</t>
        </r>
      </text>
    </comment>
    <comment ref="E1" authorId="0" shapeId="0" xr:uid="{3EB3AD2F-1203-4845-98BB-9F80F1CFEE1B}">
      <text>
        <r>
          <rPr>
            <sz val="9"/>
            <color indexed="81"/>
            <rFont val="Tahoma"/>
            <family val="2"/>
          </rPr>
          <t xml:space="preserve">Date Format should be 
</t>
        </r>
        <r>
          <rPr>
            <b/>
            <sz val="9"/>
            <color indexed="81"/>
            <rFont val="Tahoma"/>
            <family val="2"/>
          </rPr>
          <t>DD-MM-YYYY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" authorId="0" shapeId="0" xr:uid="{446C8C61-46E2-451E-83D0-3CDF5DD70911}">
      <text>
        <r>
          <rPr>
            <sz val="9"/>
            <color indexed="81"/>
            <rFont val="Tahoma"/>
            <family val="2"/>
          </rPr>
          <t xml:space="preserve">Date Format should be </t>
        </r>
        <r>
          <rPr>
            <b/>
            <sz val="9"/>
            <color indexed="81"/>
            <rFont val="Tahoma"/>
            <family val="2"/>
          </rPr>
          <t xml:space="preserve">
DD-MM-YYYY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Nandanwadkar, Sumant</author>
  </authors>
  <commentList>
    <comment ref="D1" authorId="0" shapeId="0" xr:uid="{91EA8873-9C44-43B0-AF75-898003C30CA4}">
      <text>
        <r>
          <rPr>
            <sz val="9"/>
            <color indexed="81"/>
            <rFont val="Tahoma"/>
            <family val="2"/>
          </rPr>
          <t>Maximum length =36</t>
        </r>
      </text>
    </comment>
    <comment ref="E1" authorId="0" shapeId="0" xr:uid="{38592AD1-7E3D-43E4-845F-276C4E3F7ADE}">
      <text>
        <r>
          <rPr>
            <sz val="9"/>
            <color indexed="81"/>
            <rFont val="Tahoma"/>
            <family val="2"/>
          </rPr>
          <t xml:space="preserve">Date Format should be 
</t>
        </r>
        <r>
          <rPr>
            <b/>
            <sz val="9"/>
            <color indexed="81"/>
            <rFont val="Tahoma"/>
            <family val="2"/>
          </rPr>
          <t>DD-MM-YYYY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" authorId="0" shapeId="0" xr:uid="{A93E28A8-94DC-4418-BC8B-D48BCDA29FED}">
      <text>
        <r>
          <rPr>
            <sz val="9"/>
            <color indexed="81"/>
            <rFont val="Tahoma"/>
            <family val="2"/>
          </rPr>
          <t xml:space="preserve">Date Format should be </t>
        </r>
        <r>
          <rPr>
            <b/>
            <sz val="9"/>
            <color indexed="81"/>
            <rFont val="Tahoma"/>
            <family val="2"/>
          </rPr>
          <t xml:space="preserve">
DD-MM-YYYY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Nandanwadkar, Sumant</author>
  </authors>
  <commentList>
    <comment ref="D1" authorId="0" shapeId="0" xr:uid="{51447F93-54DF-49D2-961E-3979B1ADF77A}">
      <text>
        <r>
          <rPr>
            <sz val="9"/>
            <color indexed="81"/>
            <rFont val="Tahoma"/>
            <family val="2"/>
          </rPr>
          <t>Maximum length =36</t>
        </r>
      </text>
    </comment>
    <comment ref="E1" authorId="0" shapeId="0" xr:uid="{EDDBACAF-D15F-49DD-AB7B-D35E16BF1928}">
      <text>
        <r>
          <rPr>
            <sz val="9"/>
            <color indexed="81"/>
            <rFont val="Tahoma"/>
            <family val="2"/>
          </rPr>
          <t xml:space="preserve">Date Format should be 
</t>
        </r>
        <r>
          <rPr>
            <b/>
            <sz val="9"/>
            <color indexed="81"/>
            <rFont val="Tahoma"/>
            <family val="2"/>
          </rPr>
          <t>DD-MM-YYYY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" authorId="0" shapeId="0" xr:uid="{5CB04A3A-0AE0-448A-9376-985FC923C267}">
      <text>
        <r>
          <rPr>
            <sz val="9"/>
            <color indexed="81"/>
            <rFont val="Tahoma"/>
            <family val="2"/>
          </rPr>
          <t xml:space="preserve">Date Format should be </t>
        </r>
        <r>
          <rPr>
            <b/>
            <sz val="9"/>
            <color indexed="81"/>
            <rFont val="Tahoma"/>
            <family val="2"/>
          </rPr>
          <t xml:space="preserve">
DD-MM-YYYY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Nandanwadkar, Sumant</author>
  </authors>
  <commentList>
    <comment ref="D1" authorId="0" shapeId="0" xr:uid="{BAE9A81C-E6D9-4514-BDE8-3692A569313F}">
      <text>
        <r>
          <rPr>
            <sz val="9"/>
            <color indexed="81"/>
            <rFont val="Tahoma"/>
            <family val="2"/>
          </rPr>
          <t>Maximum length =36</t>
        </r>
      </text>
    </comment>
    <comment ref="E1" authorId="0" shapeId="0" xr:uid="{5134AE9B-8DE0-4628-80AD-A633461F16D2}">
      <text>
        <r>
          <rPr>
            <sz val="9"/>
            <color indexed="81"/>
            <rFont val="Tahoma"/>
            <family val="2"/>
          </rPr>
          <t xml:space="preserve">Date Format should be 
</t>
        </r>
        <r>
          <rPr>
            <b/>
            <sz val="9"/>
            <color indexed="81"/>
            <rFont val="Tahoma"/>
            <family val="2"/>
          </rPr>
          <t>DD-MM-YYYY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" authorId="0" shapeId="0" xr:uid="{3915F431-311A-4444-9AD6-09827890375A}">
      <text>
        <r>
          <rPr>
            <sz val="9"/>
            <color indexed="81"/>
            <rFont val="Tahoma"/>
            <family val="2"/>
          </rPr>
          <t xml:space="preserve">Date Format should be </t>
        </r>
        <r>
          <rPr>
            <b/>
            <sz val="9"/>
            <color indexed="81"/>
            <rFont val="Tahoma"/>
            <family val="2"/>
          </rPr>
          <t xml:space="preserve">
DD-MM-YYYY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Nandanwadkar, Sumant</author>
  </authors>
  <commentList>
    <comment ref="D1" authorId="0" shapeId="0" xr:uid="{E7EBD8F5-EA3F-4362-9FDE-B0F60F4DC26C}">
      <text>
        <r>
          <rPr>
            <sz val="9"/>
            <color indexed="81"/>
            <rFont val="Tahoma"/>
            <family val="2"/>
          </rPr>
          <t>Maximum length =36</t>
        </r>
      </text>
    </comment>
    <comment ref="E1" authorId="0" shapeId="0" xr:uid="{29B660E1-BC07-460C-8A9E-6C5B8C04D447}">
      <text>
        <r>
          <rPr>
            <sz val="9"/>
            <color indexed="81"/>
            <rFont val="Tahoma"/>
            <family val="2"/>
          </rPr>
          <t xml:space="preserve">Date Format should be 
</t>
        </r>
        <r>
          <rPr>
            <b/>
            <sz val="9"/>
            <color indexed="81"/>
            <rFont val="Tahoma"/>
            <family val="2"/>
          </rPr>
          <t>DD-MM-YYYY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" authorId="0" shapeId="0" xr:uid="{CEAB68EB-B334-4D5D-B2CE-72E768C4FF06}">
      <text>
        <r>
          <rPr>
            <sz val="9"/>
            <color indexed="81"/>
            <rFont val="Tahoma"/>
            <family val="2"/>
          </rPr>
          <t xml:space="preserve">Date Format should be </t>
        </r>
        <r>
          <rPr>
            <b/>
            <sz val="9"/>
            <color indexed="81"/>
            <rFont val="Tahoma"/>
            <family val="2"/>
          </rPr>
          <t xml:space="preserve">
DD-MM-YYYY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Nandanwadkar, Sumant</author>
  </authors>
  <commentList>
    <comment ref="D1" authorId="0" shapeId="0" xr:uid="{7A6E5894-AB01-4087-9FCC-11C6823E20E7}">
      <text>
        <r>
          <rPr>
            <sz val="9"/>
            <color indexed="81"/>
            <rFont val="Tahoma"/>
            <family val="2"/>
          </rPr>
          <t>Maximum length =36</t>
        </r>
      </text>
    </comment>
    <comment ref="E1" authorId="0" shapeId="0" xr:uid="{9C780BC9-7E71-451E-AD56-B41FF3DDF4FD}">
      <text>
        <r>
          <rPr>
            <sz val="9"/>
            <color indexed="81"/>
            <rFont val="Tahoma"/>
            <family val="2"/>
          </rPr>
          <t xml:space="preserve">Date Format should be 
</t>
        </r>
        <r>
          <rPr>
            <b/>
            <sz val="9"/>
            <color indexed="81"/>
            <rFont val="Tahoma"/>
            <family val="2"/>
          </rPr>
          <t>DD-MM-YYYY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" authorId="0" shapeId="0" xr:uid="{F839BEB6-59E5-4D57-BD24-F0C44D721A23}">
      <text>
        <r>
          <rPr>
            <sz val="9"/>
            <color indexed="81"/>
            <rFont val="Tahoma"/>
            <family val="2"/>
          </rPr>
          <t xml:space="preserve">Date Format should be </t>
        </r>
        <r>
          <rPr>
            <b/>
            <sz val="9"/>
            <color indexed="81"/>
            <rFont val="Tahoma"/>
            <family val="2"/>
          </rPr>
          <t xml:space="preserve">
DD-MM-YYYY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Nandanwadkar, Sumant</author>
  </authors>
  <commentList>
    <comment ref="D1" authorId="0" shapeId="0" xr:uid="{32A0E915-2C3B-4A5C-8370-B2E4F7337BBD}">
      <text>
        <r>
          <rPr>
            <sz val="9"/>
            <color indexed="81"/>
            <rFont val="Tahoma"/>
            <family val="2"/>
          </rPr>
          <t>Maximum length =36</t>
        </r>
      </text>
    </comment>
    <comment ref="E1" authorId="0" shapeId="0" xr:uid="{9E829F61-61EC-400A-8CA7-7054B9F52126}">
      <text>
        <r>
          <rPr>
            <sz val="9"/>
            <color indexed="81"/>
            <rFont val="Tahoma"/>
            <family val="2"/>
          </rPr>
          <t xml:space="preserve">Date Format should be 
</t>
        </r>
        <r>
          <rPr>
            <b/>
            <sz val="9"/>
            <color indexed="81"/>
            <rFont val="Tahoma"/>
            <family val="2"/>
          </rPr>
          <t>DD-MM-YYYY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" authorId="0" shapeId="0" xr:uid="{806D9DBA-EF17-46EF-B626-6754482C66EE}">
      <text>
        <r>
          <rPr>
            <sz val="9"/>
            <color indexed="81"/>
            <rFont val="Tahoma"/>
            <family val="2"/>
          </rPr>
          <t xml:space="preserve">Date Format should be </t>
        </r>
        <r>
          <rPr>
            <b/>
            <sz val="9"/>
            <color indexed="81"/>
            <rFont val="Tahoma"/>
            <family val="2"/>
          </rPr>
          <t xml:space="preserve">
DD-MM-YYYY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Nandanwadkar, Sumant</author>
  </authors>
  <commentList>
    <comment ref="D1" authorId="0" shapeId="0" xr:uid="{61215DA4-DE06-43E5-B1AA-11E23A284871}">
      <text>
        <r>
          <rPr>
            <sz val="9"/>
            <color indexed="81"/>
            <rFont val="Tahoma"/>
            <family val="2"/>
          </rPr>
          <t>Maximum length =36</t>
        </r>
      </text>
    </comment>
    <comment ref="E1" authorId="0" shapeId="0" xr:uid="{69CEB228-CEB3-4517-8833-1FBA5E2701B1}">
      <text>
        <r>
          <rPr>
            <sz val="9"/>
            <color indexed="81"/>
            <rFont val="Tahoma"/>
            <family val="2"/>
          </rPr>
          <t xml:space="preserve">Date Format should be 
</t>
        </r>
        <r>
          <rPr>
            <b/>
            <sz val="9"/>
            <color indexed="81"/>
            <rFont val="Tahoma"/>
            <family val="2"/>
          </rPr>
          <t>DD-MM-YYYY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" authorId="0" shapeId="0" xr:uid="{339F1678-7CC5-42CF-9B2C-DF38D50B0C6A}">
      <text>
        <r>
          <rPr>
            <sz val="9"/>
            <color indexed="81"/>
            <rFont val="Tahoma"/>
            <family val="2"/>
          </rPr>
          <t xml:space="preserve">Date Format should be </t>
        </r>
        <r>
          <rPr>
            <b/>
            <sz val="9"/>
            <color indexed="81"/>
            <rFont val="Tahoma"/>
            <family val="2"/>
          </rPr>
          <t xml:space="preserve">
DD-MM-YYYY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Nandanwadkar, Sumant</author>
  </authors>
  <commentList>
    <comment ref="D1" authorId="0" shapeId="0" xr:uid="{76D6FFE4-DB90-4FEA-A000-4123707AD911}">
      <text>
        <r>
          <rPr>
            <sz val="9"/>
            <color indexed="81"/>
            <rFont val="Tahoma"/>
            <family val="2"/>
          </rPr>
          <t>Maximum length =36</t>
        </r>
      </text>
    </comment>
    <comment ref="E1" authorId="0" shapeId="0" xr:uid="{FD9504FE-FC62-4388-A982-48EFE688F5C1}">
      <text>
        <r>
          <rPr>
            <sz val="9"/>
            <color indexed="81"/>
            <rFont val="Tahoma"/>
            <family val="2"/>
          </rPr>
          <t xml:space="preserve">Date Format should be 
</t>
        </r>
        <r>
          <rPr>
            <b/>
            <sz val="9"/>
            <color indexed="81"/>
            <rFont val="Tahoma"/>
            <family val="2"/>
          </rPr>
          <t>DD-MM-YYYY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" authorId="0" shapeId="0" xr:uid="{DC7380E8-B6B2-4883-A5C9-848D6DA4E0D1}">
      <text>
        <r>
          <rPr>
            <sz val="9"/>
            <color indexed="81"/>
            <rFont val="Tahoma"/>
            <family val="2"/>
          </rPr>
          <t xml:space="preserve">Date Format should be </t>
        </r>
        <r>
          <rPr>
            <b/>
            <sz val="9"/>
            <color indexed="81"/>
            <rFont val="Tahoma"/>
            <family val="2"/>
          </rPr>
          <t xml:space="preserve">
DD-MM-YYYY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Nandanwadkar, Sumant</author>
  </authors>
  <commentList>
    <comment ref="D1" authorId="0" shapeId="0" xr:uid="{61947385-3500-4DE6-ADE7-3434932A02F4}">
      <text>
        <r>
          <rPr>
            <sz val="9"/>
            <color indexed="81"/>
            <rFont val="Tahoma"/>
            <family val="2"/>
          </rPr>
          <t>Maximum length =36</t>
        </r>
      </text>
    </comment>
    <comment ref="E1" authorId="0" shapeId="0" xr:uid="{7CE6FB77-1EAB-44BB-B380-0E0714397402}">
      <text>
        <r>
          <rPr>
            <sz val="9"/>
            <color indexed="81"/>
            <rFont val="Tahoma"/>
            <family val="2"/>
          </rPr>
          <t xml:space="preserve">Date Format should be 
</t>
        </r>
        <r>
          <rPr>
            <b/>
            <sz val="9"/>
            <color indexed="81"/>
            <rFont val="Tahoma"/>
            <family val="2"/>
          </rPr>
          <t>DD-MM-YYYY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" authorId="0" shapeId="0" xr:uid="{6CE25A60-AFBA-4CFF-BA9C-F7645BD98687}">
      <text>
        <r>
          <rPr>
            <sz val="9"/>
            <color indexed="81"/>
            <rFont val="Tahoma"/>
            <family val="2"/>
          </rPr>
          <t xml:space="preserve">Date Format should be </t>
        </r>
        <r>
          <rPr>
            <b/>
            <sz val="9"/>
            <color indexed="81"/>
            <rFont val="Tahoma"/>
            <family val="2"/>
          </rPr>
          <t xml:space="preserve">
DD-MM-YYYY</t>
        </r>
      </text>
    </comment>
  </commentList>
</comments>
</file>

<file path=xl/sharedStrings.xml><?xml version="1.0" encoding="utf-8"?>
<sst xmlns="http://schemas.openxmlformats.org/spreadsheetml/2006/main" count="290" uniqueCount="50">
  <si>
    <t>Name</t>
  </si>
  <si>
    <t>Sr. No</t>
  </si>
  <si>
    <t>INDEX</t>
  </si>
  <si>
    <t>Task name Length</t>
  </si>
  <si>
    <t>Sumant Nandanwadkar</t>
  </si>
  <si>
    <t>GCM</t>
  </si>
  <si>
    <t>Supriya Kshirsagar Joshi</t>
  </si>
  <si>
    <t>Nikhil Joshi</t>
  </si>
  <si>
    <t>Purva Ghag</t>
  </si>
  <si>
    <t>Member GCM</t>
  </si>
  <si>
    <t>5T</t>
  </si>
  <si>
    <t>4T</t>
  </si>
  <si>
    <t>3T</t>
  </si>
  <si>
    <t>2T</t>
  </si>
  <si>
    <t>Role in Planview</t>
  </si>
  <si>
    <t>1T</t>
  </si>
  <si>
    <t>1D</t>
  </si>
  <si>
    <t>2D</t>
  </si>
  <si>
    <t>3D</t>
  </si>
  <si>
    <t>4D</t>
  </si>
  <si>
    <t>5D</t>
  </si>
  <si>
    <t>3B</t>
  </si>
  <si>
    <t>GSDRS/SDCO/GSC\SPM03-Consultant - Testing</t>
  </si>
  <si>
    <t>GSDRS/SDCO/GSC\SPM03-Trainee Engineer</t>
  </si>
  <si>
    <t>GSDRS/SDCO/GSC\SPM03-Associate Engineer</t>
  </si>
  <si>
    <t>GSDRS/SDCO/GSC\SPM03-Senior Consultant - Testing</t>
  </si>
  <si>
    <t>6T</t>
  </si>
  <si>
    <t>GSDRS/SDCO/GSC\SPM03-Lead Consultant</t>
  </si>
  <si>
    <t>GCM Role for PlanView</t>
  </si>
  <si>
    <t>GSDRS/SDCO/GSC\SPM03-Asscociate Consultant-Testing</t>
  </si>
  <si>
    <t/>
  </si>
  <si>
    <t>Nikhil Dhepe</t>
  </si>
  <si>
    <t>Sapana Gawande</t>
  </si>
  <si>
    <t>Task Name - Activity</t>
  </si>
  <si>
    <t>Sachin Shet</t>
  </si>
  <si>
    <t>Amit Sinha</t>
  </si>
  <si>
    <t>Start Date</t>
  </si>
  <si>
    <t>End Date</t>
  </si>
  <si>
    <t>TBA</t>
  </si>
  <si>
    <t>YC</t>
  </si>
  <si>
    <t>GCM Redefined</t>
  </si>
  <si>
    <t>Index</t>
  </si>
  <si>
    <t>Demo Task 1</t>
  </si>
  <si>
    <t>Demo Task 2</t>
  </si>
  <si>
    <t>WBS Code:</t>
  </si>
  <si>
    <t>ZI701248001-TOGSD1002383-0A06</t>
  </si>
  <si>
    <t>WL BE FS TCC Marco Polo</t>
  </si>
  <si>
    <t>Task Type</t>
  </si>
  <si>
    <t>Extension</t>
  </si>
  <si>
    <t>New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</si>
</sst>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14009]dd/mm/yyyy;@"/>
  </numFmts>
  <fonts count="1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0000"/>
      <name val="Calibri"/>
      <family val="2"/>
    </font>
    <font>
      <b/>
      <sz val="8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9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1" xfId="0" applyBorder="1"/>
    <xf numFmtId="0" fontId="2" fillId="2" borderId="1" xfId="0" applyFont="1" applyFill="1" applyBorder="1" applyAlignment="1">
      <alignment horizontal="center" vertical="center" wrapText="1"/>
    </xf>
    <xf numFmtId="0" fontId="1" fillId="0" borderId="0" xfId="1" applyAlignment="1">
      <alignment horizontal="center" vertical="center" wrapText="1"/>
    </xf>
    <xf numFmtId="0" fontId="1" fillId="0" borderId="0" xfId="1" applyBorder="1" applyAlignment="1">
      <alignment horizontal="center" vertical="center" wrapText="1"/>
    </xf>
    <xf numFmtId="164" fontId="0" fillId="0" borderId="1" xfId="0" applyNumberFormat="1" applyBorder="1"/>
    <xf numFmtId="164" fontId="0" fillId="0" borderId="0" xfId="0" applyNumberFormat="1"/>
    <xf numFmtId="0" fontId="3" fillId="2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1" applyBorder="1" applyAlignment="1">
      <alignment wrapText="1"/>
    </xf>
    <xf numFmtId="0" fontId="0" fillId="0" borderId="0" xfId="0" applyBorder="1" applyAlignment="1">
      <alignment wrapText="1"/>
    </xf>
    <xf numFmtId="0" fontId="1" fillId="2" borderId="0" xfId="1" applyFill="1" applyBorder="1" applyAlignment="1">
      <alignment horizontal="center" vertical="center" wrapText="1"/>
    </xf>
    <xf numFmtId="0" fontId="6" fillId="0" borderId="0" xfId="1" applyFont="1" applyBorder="1" applyAlignment="1">
      <alignment wrapText="1"/>
    </xf>
    <xf numFmtId="0" fontId="7" fillId="0" borderId="1" xfId="0" applyFont="1" applyFill="1" applyBorder="1" applyAlignment="1">
      <alignment horizontal="left"/>
    </xf>
    <xf numFmtId="0" fontId="7" fillId="0" borderId="1" xfId="0" applyFont="1" applyFill="1" applyBorder="1" applyAlignment="1">
      <alignment horizontal="center" wrapText="1"/>
    </xf>
    <xf numFmtId="0" fontId="7" fillId="0" borderId="1" xfId="0" applyFont="1" applyFill="1" applyBorder="1" applyAlignment="1">
      <alignment horizontal="center"/>
    </xf>
    <xf numFmtId="0" fontId="7" fillId="0" borderId="1" xfId="0" applyFont="1" applyFill="1" applyBorder="1"/>
    <xf numFmtId="0" fontId="6" fillId="2" borderId="0" xfId="1" applyFont="1" applyFill="1" applyBorder="1" applyAlignment="1">
      <alignment horizontal="center" vertical="center" wrapText="1"/>
    </xf>
    <xf numFmtId="0" fontId="6" fillId="0" borderId="1" xfId="1" applyFont="1" applyBorder="1" applyAlignment="1">
      <alignment horizontal="left" vertical="center"/>
    </xf>
    <xf numFmtId="0" fontId="6" fillId="0" borderId="0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/>
    </xf>
    <xf numFmtId="0" fontId="6" fillId="0" borderId="0" xfId="1" applyFont="1" applyAlignment="1">
      <alignment horizontal="center" vertical="center" wrapText="1"/>
    </xf>
    <xf numFmtId="0" fontId="6" fillId="0" borderId="0" xfId="1" applyFont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left"/>
    </xf>
    <xf numFmtId="0" fontId="7" fillId="0" borderId="0" xfId="0" applyFont="1" applyAlignment="1"/>
    <xf numFmtId="0" fontId="7" fillId="0" borderId="0" xfId="0" applyFont="1" applyAlignment="1">
      <alignment horizontal="center"/>
    </xf>
    <xf numFmtId="0" fontId="7" fillId="0" borderId="1" xfId="0" applyFont="1" applyBorder="1"/>
    <xf numFmtId="0" fontId="7" fillId="0" borderId="1" xfId="0" applyFont="1" applyBorder="1" applyAlignment="1">
      <alignment horizontal="left"/>
    </xf>
    <xf numFmtId="0" fontId="6" fillId="0" borderId="1" xfId="1" applyFont="1" applyBorder="1" applyAlignment="1">
      <alignment horizontal="center" vertical="center"/>
    </xf>
    <xf numFmtId="0" fontId="1" fillId="2" borderId="1" xfId="1" applyFill="1" applyBorder="1" applyAlignment="1">
      <alignment horizontal="left" vertical="center"/>
    </xf>
    <xf numFmtId="0" fontId="1" fillId="0" borderId="1" xfId="1" applyBorder="1" applyAlignment="1">
      <alignment horizontal="left" vertical="center"/>
    </xf>
    <xf numFmtId="0" fontId="2" fillId="3" borderId="1" xfId="0" applyFont="1" applyFill="1" applyBorder="1" applyAlignment="1">
      <alignment horizontal="center" vertical="center" wrapText="1"/>
    </xf>
    <xf numFmtId="164" fontId="2" fillId="3" borderId="1" xfId="0" applyNumberFormat="1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left"/>
    </xf>
    <xf numFmtId="0" fontId="8" fillId="0" borderId="1" xfId="0" applyFont="1" applyFill="1" applyBorder="1" applyAlignment="1">
      <alignment horizontal="center" wrapText="1"/>
    </xf>
    <xf numFmtId="0" fontId="8" fillId="4" borderId="1" xfId="0" applyFont="1" applyFill="1" applyBorder="1" applyAlignment="1">
      <alignment horizontal="center"/>
    </xf>
    <xf numFmtId="0" fontId="6" fillId="4" borderId="1" xfId="1" applyFont="1" applyFill="1" applyBorder="1" applyAlignment="1">
      <alignment wrapText="1"/>
    </xf>
    <xf numFmtId="164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9" fillId="0" borderId="0" xfId="0" applyFont="1" applyAlignment="1">
      <alignment horizontal="left"/>
    </xf>
    <xf numFmtId="0" fontId="0" fillId="0" borderId="0" xfId="0" applyFont="1" applyAlignment="1">
      <alignment horizontal="left"/>
    </xf>
    <xf numFmtId="164" fontId="0" fillId="0" borderId="1" xfId="0" applyNumberFormat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0</xdr:row>
          <xdr:rowOff>15240</xdr:rowOff>
        </xdr:from>
        <xdr:to>
          <xdr:col>3</xdr:col>
          <xdr:colOff>754380</xdr:colOff>
          <xdr:row>1</xdr:row>
          <xdr:rowOff>76200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6219B-7C3D-47D6-8E39-472A100614BD}">
  <dimension ref="A1:G5"/>
  <sheetViews>
    <sheetView tabSelected="1" workbookViewId="0">
      <selection activeCell="F10" sqref="F10"/>
    </sheetView>
  </sheetViews>
  <sheetFormatPr defaultRowHeight="14.4" x14ac:dyDescent="0.3"/>
  <cols>
    <col min="1" max="1" width="6.109375" style="41" bestFit="1" customWidth="1"/>
    <col min="2" max="2" width="20.109375" bestFit="1" customWidth="1"/>
    <col min="3" max="3" width="11.44140625" bestFit="1" customWidth="1"/>
    <col min="4" max="5" width="10.33203125" style="41" bestFit="1" customWidth="1"/>
    <col min="6" max="6" width="48" bestFit="1" customWidth="1"/>
    <col min="7" max="7" width="9.33203125" bestFit="1" customWidth="1"/>
  </cols>
  <sheetData>
    <row r="1" spans="1:7" x14ac:dyDescent="0.3">
      <c r="A1" s="42" t="s">
        <v>46</v>
      </c>
      <c r="E1" s="41" t="s">
        <v>44</v>
      </c>
      <c r="F1" s="43" t="s">
        <v>45</v>
      </c>
      <c r="G1" s="43"/>
    </row>
    <row r="2" spans="1:7" ht="28.8" x14ac:dyDescent="0.3">
      <c r="A2" s="34" t="s">
        <v>1</v>
      </c>
      <c r="B2" s="34" t="s">
        <v>0</v>
      </c>
      <c r="C2" s="34" t="s">
        <v>33</v>
      </c>
      <c r="D2" s="35" t="s">
        <v>36</v>
      </c>
      <c r="E2" s="35" t="s">
        <v>37</v>
      </c>
      <c r="F2" s="35" t="s">
        <v>28</v>
      </c>
      <c r="G2" s="35" t="s">
        <v>47</v>
      </c>
    </row>
    <row r="3" spans="1:7" x14ac:dyDescent="0.3">
      <c r="A3" s="8">
        <v>1</v>
      </c>
      <c r="B3" s="1" t="s">
        <v>7</v>
      </c>
      <c r="C3" s="1" t="s">
        <v>42</v>
      </c>
      <c r="D3" s="40">
        <v>44726</v>
      </c>
      <c r="E3" s="40">
        <v>44920</v>
      </c>
      <c r="F3" s="5" t="s">
        <v>22</v>
      </c>
      <c r="G3" s="44" t="s">
        <v>48</v>
      </c>
    </row>
    <row r="4" spans="1:7" x14ac:dyDescent="0.3">
      <c r="A4" s="8">
        <v>2</v>
      </c>
      <c r="B4" s="1" t="s">
        <v>4</v>
      </c>
      <c r="C4" s="1" t="s">
        <v>43</v>
      </c>
      <c r="D4" s="40">
        <v>44726</v>
      </c>
      <c r="E4" s="40">
        <v>44737</v>
      </c>
      <c r="F4" s="5" t="s">
        <v>29</v>
      </c>
      <c r="G4" s="44" t="s">
        <v>49</v>
      </c>
    </row>
    <row r="5" spans="1:7" x14ac:dyDescent="0.3">
      <c r="A5" s="8">
        <v>3</v>
      </c>
      <c r="B5" s="1" t="s">
        <v>4</v>
      </c>
      <c r="C5" s="1" t="s">
        <v>43</v>
      </c>
      <c r="D5" s="40">
        <v>44726</v>
      </c>
      <c r="E5" s="40">
        <v>44925</v>
      </c>
      <c r="F5" s="5" t="s">
        <v>29</v>
      </c>
      <c r="G5" s="44" t="s">
        <v>48</v>
      </c>
    </row>
  </sheetData>
  <sortState xmlns:xlrd2="http://schemas.microsoft.com/office/spreadsheetml/2017/richdata2" ref="A3:F5">
    <sortCondition ref="C2"/>
    <sortCondition ref="F2"/>
  </sortState>
  <dataValidations count="3">
    <dataValidation type="textLength" operator="lessThanOrEqual" allowBlank="1" showInputMessage="1" showErrorMessage="1" errorTitle="Task Name Length Invalid" error="Task Name length should be &lt;= 36" promptTitle="Task Name length should be &lt;= 36" sqref="C2:C5" xr:uid="{1DFAEE4F-5E3A-43CE-8B53-4A30DBC2A826}">
      <formula1>36</formula1>
    </dataValidation>
    <dataValidation showInputMessage="1" showErrorMessage="1" errorTitle="Invalid Date Format" error="Date Format should be DD-MM-YYYY" promptTitle="Date Format should be DD-MM-YYYY" sqref="D2:E2" xr:uid="{C1944077-5C88-4877-9416-85E958610346}"/>
    <dataValidation type="date" showInputMessage="1" showErrorMessage="1" errorTitle="Invalid Date Format" error="Date Format should be DD-MM-YYYY" promptTitle="Date Format should be DD-MM-YYYY" sqref="D3:E5" xr:uid="{12262CE5-283F-415A-AF3E-D8031A446094}">
      <formula1>44562</formula1>
      <formula2>2958101</formula2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652400-6F23-4E3D-921E-BEE83DB8C546}">
  <sheetPr codeName="Sheet1"/>
  <dimension ref="A1:Q29"/>
  <sheetViews>
    <sheetView zoomScale="85" zoomScaleNormal="85" workbookViewId="0">
      <selection activeCell="E1" sqref="E1:L1"/>
    </sheetView>
  </sheetViews>
  <sheetFormatPr defaultRowHeight="14.4" x14ac:dyDescent="0.3"/>
  <cols>
    <col min="1" max="1" width="20.109375" style="25" bestFit="1" customWidth="1"/>
    <col min="2" max="2" width="20.21875" style="26" customWidth="1"/>
    <col min="3" max="3" width="8" style="28" customWidth="1"/>
    <col min="4" max="4" width="11.21875" style="25" customWidth="1"/>
    <col min="5" max="5" width="5.5546875" style="10" customWidth="1"/>
    <col min="6" max="6" width="9.21875" customWidth="1"/>
    <col min="7" max="7" width="27.21875" customWidth="1"/>
    <col min="8" max="9" width="10.88671875" style="6" bestFit="1" customWidth="1"/>
    <col min="10" max="10" width="12.6640625" style="6" bestFit="1" customWidth="1"/>
    <col min="11" max="11" width="11.88671875" customWidth="1"/>
    <col min="14" max="14" width="9.88671875" style="25" customWidth="1"/>
    <col min="15" max="15" width="42.33203125" style="27" customWidth="1"/>
    <col min="16" max="16" width="9.88671875" style="25" customWidth="1"/>
    <col min="17" max="17" width="9.88671875" customWidth="1"/>
  </cols>
  <sheetData>
    <row r="1" spans="1:17" s="12" customFormat="1" ht="28.8" x14ac:dyDescent="0.3">
      <c r="A1" s="39" t="s">
        <v>2</v>
      </c>
      <c r="B1" s="15"/>
      <c r="C1" s="16" t="s">
        <v>9</v>
      </c>
      <c r="D1" s="14"/>
      <c r="E1" s="34" t="s">
        <v>1</v>
      </c>
      <c r="F1" s="34" t="s">
        <v>0</v>
      </c>
      <c r="G1" s="34" t="s">
        <v>33</v>
      </c>
      <c r="H1" s="35" t="s">
        <v>36</v>
      </c>
      <c r="I1" s="35" t="s">
        <v>37</v>
      </c>
      <c r="J1" s="35" t="s">
        <v>28</v>
      </c>
      <c r="K1" s="7" t="s">
        <v>3</v>
      </c>
      <c r="L1" s="2" t="s">
        <v>5</v>
      </c>
      <c r="N1" s="37" t="s">
        <v>40</v>
      </c>
      <c r="O1" s="38" t="s">
        <v>14</v>
      </c>
      <c r="P1" s="14"/>
      <c r="Q1" s="11"/>
    </row>
    <row r="2" spans="1:17" x14ac:dyDescent="0.3">
      <c r="A2" s="18" t="s">
        <v>4</v>
      </c>
      <c r="B2" s="32" t="s">
        <v>4</v>
      </c>
      <c r="C2" s="17" t="s">
        <v>10</v>
      </c>
      <c r="D2" s="19"/>
      <c r="E2" s="8">
        <v>1</v>
      </c>
      <c r="F2" s="1"/>
      <c r="G2" s="1"/>
      <c r="H2" s="5"/>
      <c r="I2" s="5"/>
      <c r="J2" s="5"/>
      <c r="K2" s="1" t="str">
        <f>IF(LEN(G2)=0,"",LEN(G2))</f>
        <v/>
      </c>
      <c r="L2" s="1"/>
      <c r="N2" s="16" t="s">
        <v>15</v>
      </c>
      <c r="O2" s="15" t="s">
        <v>23</v>
      </c>
      <c r="P2" s="36"/>
      <c r="Q2" s="13"/>
    </row>
    <row r="3" spans="1:17" x14ac:dyDescent="0.3">
      <c r="A3" s="18" t="s">
        <v>7</v>
      </c>
      <c r="B3" s="33" t="s">
        <v>7</v>
      </c>
      <c r="C3" s="17" t="s">
        <v>11</v>
      </c>
      <c r="D3" s="21"/>
      <c r="E3" s="8">
        <v>2</v>
      </c>
      <c r="F3" s="1"/>
      <c r="G3" s="1"/>
      <c r="H3" s="5"/>
      <c r="I3" s="5"/>
      <c r="J3" s="5"/>
      <c r="K3" s="1" t="str">
        <f t="shared" ref="K3:K11" si="0">IF(LEN(G3)=0,"",LEN(G3))</f>
        <v/>
      </c>
      <c r="L3" s="1"/>
      <c r="N3" s="16" t="s">
        <v>13</v>
      </c>
      <c r="O3" s="15" t="s">
        <v>24</v>
      </c>
      <c r="P3" s="36"/>
      <c r="Q3" s="4"/>
    </row>
    <row r="4" spans="1:17" x14ac:dyDescent="0.3">
      <c r="A4" s="18" t="s">
        <v>31</v>
      </c>
      <c r="B4" s="33" t="s">
        <v>31</v>
      </c>
      <c r="C4" s="17" t="s">
        <v>12</v>
      </c>
      <c r="D4" s="21"/>
      <c r="E4" s="8">
        <v>3</v>
      </c>
      <c r="F4" s="1"/>
      <c r="G4" s="1"/>
      <c r="H4" s="5"/>
      <c r="I4" s="5"/>
      <c r="J4" s="5"/>
      <c r="K4" s="1" t="str">
        <f t="shared" si="0"/>
        <v/>
      </c>
      <c r="L4" s="1"/>
      <c r="N4" s="16" t="s">
        <v>12</v>
      </c>
      <c r="O4" s="15" t="s">
        <v>29</v>
      </c>
      <c r="P4" s="36"/>
      <c r="Q4" s="4"/>
    </row>
    <row r="5" spans="1:17" x14ac:dyDescent="0.3">
      <c r="A5" s="18" t="s">
        <v>6</v>
      </c>
      <c r="B5" s="33" t="s">
        <v>6</v>
      </c>
      <c r="C5" s="17" t="s">
        <v>11</v>
      </c>
      <c r="D5" s="21"/>
      <c r="E5" s="9">
        <v>4</v>
      </c>
      <c r="F5" s="1"/>
      <c r="G5" s="1"/>
      <c r="H5" s="5"/>
      <c r="I5" s="5"/>
      <c r="J5" s="5"/>
      <c r="K5" s="1" t="str">
        <f t="shared" si="0"/>
        <v/>
      </c>
      <c r="L5" s="1"/>
      <c r="N5" s="16" t="s">
        <v>11</v>
      </c>
      <c r="O5" s="15" t="s">
        <v>22</v>
      </c>
      <c r="P5" s="36"/>
      <c r="Q5" s="4"/>
    </row>
    <row r="6" spans="1:17" x14ac:dyDescent="0.3">
      <c r="A6" s="18" t="s">
        <v>8</v>
      </c>
      <c r="B6" s="33" t="s">
        <v>8</v>
      </c>
      <c r="C6" s="17" t="s">
        <v>13</v>
      </c>
      <c r="D6" s="21"/>
      <c r="E6" s="9">
        <v>5</v>
      </c>
      <c r="F6" s="1"/>
      <c r="G6" s="1"/>
      <c r="H6" s="5"/>
      <c r="I6" s="5"/>
      <c r="J6" s="5"/>
      <c r="K6" s="1" t="str">
        <f t="shared" si="0"/>
        <v/>
      </c>
      <c r="L6" s="1"/>
      <c r="N6" s="16" t="s">
        <v>10</v>
      </c>
      <c r="O6" s="15" t="s">
        <v>25</v>
      </c>
      <c r="P6" s="36"/>
      <c r="Q6" s="4"/>
    </row>
    <row r="7" spans="1:17" x14ac:dyDescent="0.3">
      <c r="A7" s="18" t="s">
        <v>32</v>
      </c>
      <c r="B7" s="33" t="s">
        <v>32</v>
      </c>
      <c r="C7" s="17" t="s">
        <v>12</v>
      </c>
      <c r="D7" s="21"/>
      <c r="E7" s="9">
        <v>6</v>
      </c>
      <c r="F7" s="1"/>
      <c r="G7" s="1"/>
      <c r="H7" s="5"/>
      <c r="I7" s="5"/>
      <c r="J7" s="5"/>
      <c r="K7" s="1" t="str">
        <f t="shared" si="0"/>
        <v/>
      </c>
      <c r="L7" s="1"/>
      <c r="N7" s="16" t="s">
        <v>26</v>
      </c>
      <c r="O7" s="15" t="s">
        <v>27</v>
      </c>
      <c r="P7" s="36"/>
      <c r="Q7" s="4"/>
    </row>
    <row r="8" spans="1:17" x14ac:dyDescent="0.3">
      <c r="A8" s="18" t="s">
        <v>34</v>
      </c>
      <c r="B8" s="33" t="s">
        <v>34</v>
      </c>
      <c r="C8" s="17" t="s">
        <v>11</v>
      </c>
      <c r="D8" s="21"/>
      <c r="E8" s="9">
        <v>7</v>
      </c>
      <c r="F8" s="1"/>
      <c r="G8" s="1"/>
      <c r="H8" s="5"/>
      <c r="I8" s="5"/>
      <c r="J8" s="5"/>
      <c r="K8" s="1" t="str">
        <f t="shared" si="0"/>
        <v/>
      </c>
      <c r="L8" s="1"/>
      <c r="N8" s="16" t="s">
        <v>16</v>
      </c>
      <c r="O8" s="31"/>
      <c r="P8" s="36"/>
      <c r="Q8" s="4"/>
    </row>
    <row r="9" spans="1:17" x14ac:dyDescent="0.3">
      <c r="A9" s="18" t="s">
        <v>35</v>
      </c>
      <c r="B9" s="33" t="s">
        <v>35</v>
      </c>
      <c r="C9" s="17" t="s">
        <v>12</v>
      </c>
      <c r="D9" s="21"/>
      <c r="E9" s="9">
        <v>8</v>
      </c>
      <c r="F9" s="1"/>
      <c r="G9" s="1"/>
      <c r="H9" s="5"/>
      <c r="I9" s="5"/>
      <c r="J9" s="5"/>
      <c r="K9" s="1" t="str">
        <f t="shared" si="0"/>
        <v/>
      </c>
      <c r="L9" s="1"/>
      <c r="N9" s="16" t="s">
        <v>17</v>
      </c>
      <c r="O9" s="31" t="s">
        <v>30</v>
      </c>
      <c r="P9" s="36"/>
      <c r="Q9" s="4"/>
    </row>
    <row r="10" spans="1:17" x14ac:dyDescent="0.3">
      <c r="A10" s="18" t="s">
        <v>39</v>
      </c>
      <c r="B10" s="33" t="s">
        <v>39</v>
      </c>
      <c r="C10" s="17" t="s">
        <v>11</v>
      </c>
      <c r="D10" s="21"/>
      <c r="E10" s="9">
        <v>9</v>
      </c>
      <c r="F10" s="1"/>
      <c r="G10" s="1"/>
      <c r="H10" s="5"/>
      <c r="I10" s="5"/>
      <c r="J10" s="5"/>
      <c r="K10" s="1" t="str">
        <f t="shared" si="0"/>
        <v/>
      </c>
      <c r="L10" s="1"/>
      <c r="N10" s="16" t="s">
        <v>18</v>
      </c>
      <c r="O10" s="31" t="s">
        <v>30</v>
      </c>
      <c r="P10" s="36"/>
      <c r="Q10" s="4"/>
    </row>
    <row r="11" spans="1:17" x14ac:dyDescent="0.3">
      <c r="A11" s="18" t="s">
        <v>38</v>
      </c>
      <c r="B11" s="33" t="s">
        <v>38</v>
      </c>
      <c r="C11" s="17" t="s">
        <v>13</v>
      </c>
      <c r="D11" s="21"/>
      <c r="E11" s="9">
        <v>10</v>
      </c>
      <c r="F11" s="1"/>
      <c r="G11" s="1"/>
      <c r="H11" s="5"/>
      <c r="I11" s="5"/>
      <c r="J11" s="5"/>
      <c r="K11" s="1" t="str">
        <f t="shared" si="0"/>
        <v/>
      </c>
      <c r="L11" s="1"/>
      <c r="N11" s="16" t="s">
        <v>19</v>
      </c>
      <c r="O11" s="31" t="s">
        <v>30</v>
      </c>
      <c r="P11" s="36"/>
      <c r="Q11" s="4"/>
    </row>
    <row r="12" spans="1:17" x14ac:dyDescent="0.3">
      <c r="A12" s="18"/>
      <c r="B12" s="20"/>
      <c r="C12" s="17"/>
      <c r="D12" s="21"/>
      <c r="E12" s="9">
        <v>11</v>
      </c>
      <c r="F12" s="1"/>
      <c r="G12" s="1"/>
      <c r="H12" s="5"/>
      <c r="I12" s="5"/>
      <c r="J12" s="5"/>
      <c r="K12" s="1" t="str">
        <f t="shared" ref="K12:K26" si="1">IF(LEN(G12)=0,"",LEN(G12))</f>
        <v/>
      </c>
      <c r="L12" s="1"/>
      <c r="N12" s="16" t="s">
        <v>20</v>
      </c>
      <c r="O12" s="31" t="s">
        <v>30</v>
      </c>
      <c r="P12" s="36"/>
      <c r="Q12" s="4"/>
    </row>
    <row r="13" spans="1:17" x14ac:dyDescent="0.3">
      <c r="A13" s="18"/>
      <c r="B13" s="20"/>
      <c r="C13" s="17"/>
      <c r="D13" s="21"/>
      <c r="E13" s="9"/>
      <c r="F13" s="1"/>
      <c r="G13" s="1"/>
      <c r="H13" s="5"/>
      <c r="I13" s="5"/>
      <c r="J13" s="5"/>
      <c r="K13" s="1" t="str">
        <f t="shared" si="1"/>
        <v/>
      </c>
      <c r="L13" s="1"/>
      <c r="N13" s="16" t="s">
        <v>21</v>
      </c>
      <c r="O13" s="31" t="s">
        <v>30</v>
      </c>
      <c r="P13" s="36"/>
      <c r="Q13" s="4"/>
    </row>
    <row r="14" spans="1:17" x14ac:dyDescent="0.3">
      <c r="A14" s="18"/>
      <c r="B14" s="20"/>
      <c r="C14" s="17"/>
      <c r="D14" s="21"/>
      <c r="E14" s="9"/>
      <c r="F14" s="1"/>
      <c r="G14" s="1"/>
      <c r="H14" s="5"/>
      <c r="I14" s="5"/>
      <c r="J14" s="5"/>
      <c r="K14" s="1" t="str">
        <f t="shared" si="1"/>
        <v/>
      </c>
      <c r="L14" s="1"/>
      <c r="N14" s="21"/>
      <c r="O14" s="22"/>
      <c r="P14" s="21"/>
      <c r="Q14" s="4"/>
    </row>
    <row r="15" spans="1:17" x14ac:dyDescent="0.3">
      <c r="A15" s="18"/>
      <c r="B15" s="20"/>
      <c r="C15" s="17"/>
      <c r="D15" s="23"/>
      <c r="E15" s="9"/>
      <c r="F15" s="1"/>
      <c r="G15" s="1"/>
      <c r="H15" s="5"/>
      <c r="I15" s="5"/>
      <c r="J15" s="5"/>
      <c r="K15" s="1" t="str">
        <f t="shared" si="1"/>
        <v/>
      </c>
      <c r="L15" s="1"/>
      <c r="N15" s="23"/>
      <c r="O15" s="24"/>
      <c r="P15" s="21"/>
      <c r="Q15" s="3"/>
    </row>
    <row r="16" spans="1:17" x14ac:dyDescent="0.3">
      <c r="A16" s="29"/>
      <c r="B16" s="30"/>
      <c r="C16" s="17"/>
      <c r="E16" s="9"/>
      <c r="F16" s="1"/>
      <c r="G16" s="1"/>
      <c r="H16" s="5"/>
      <c r="I16" s="5"/>
      <c r="J16" s="5"/>
      <c r="K16" s="1" t="str">
        <f t="shared" si="1"/>
        <v/>
      </c>
      <c r="L16" s="1"/>
    </row>
    <row r="17" spans="1:12" x14ac:dyDescent="0.3">
      <c r="A17" s="29"/>
      <c r="B17" s="30"/>
      <c r="C17" s="17"/>
      <c r="E17" s="9"/>
      <c r="F17" s="1"/>
      <c r="G17" s="1"/>
      <c r="H17" s="5"/>
      <c r="I17" s="5"/>
      <c r="J17" s="5"/>
      <c r="K17" s="1" t="str">
        <f t="shared" si="1"/>
        <v/>
      </c>
      <c r="L17" s="1"/>
    </row>
    <row r="18" spans="1:12" x14ac:dyDescent="0.3">
      <c r="A18" s="29"/>
      <c r="B18" s="30"/>
      <c r="C18" s="17"/>
      <c r="E18" s="9"/>
      <c r="F18" s="1"/>
      <c r="G18" s="1"/>
      <c r="H18" s="5"/>
      <c r="I18" s="5"/>
      <c r="J18" s="5"/>
      <c r="K18" s="1" t="str">
        <f t="shared" si="1"/>
        <v/>
      </c>
      <c r="L18" s="1"/>
    </row>
    <row r="19" spans="1:12" x14ac:dyDescent="0.3">
      <c r="A19" s="29"/>
      <c r="B19" s="30"/>
      <c r="C19" s="17"/>
      <c r="E19" s="9"/>
      <c r="F19" s="1"/>
      <c r="G19" s="1"/>
      <c r="H19" s="5"/>
      <c r="I19" s="5"/>
      <c r="J19" s="5"/>
      <c r="K19" s="1" t="str">
        <f t="shared" si="1"/>
        <v/>
      </c>
      <c r="L19" s="1"/>
    </row>
    <row r="20" spans="1:12" x14ac:dyDescent="0.3">
      <c r="E20" s="9"/>
      <c r="F20" s="1"/>
      <c r="G20" s="1"/>
      <c r="H20" s="5"/>
      <c r="I20" s="5"/>
      <c r="J20" s="5"/>
      <c r="K20" s="1" t="str">
        <f t="shared" si="1"/>
        <v/>
      </c>
      <c r="L20" s="1"/>
    </row>
    <row r="21" spans="1:12" x14ac:dyDescent="0.3">
      <c r="E21" s="9"/>
      <c r="F21" s="1"/>
      <c r="G21" s="1"/>
      <c r="H21" s="5"/>
      <c r="I21" s="5"/>
      <c r="J21" s="5"/>
      <c r="K21" s="1" t="str">
        <f t="shared" si="1"/>
        <v/>
      </c>
      <c r="L21" s="1"/>
    </row>
    <row r="22" spans="1:12" x14ac:dyDescent="0.3">
      <c r="E22" s="9"/>
      <c r="F22" s="1"/>
      <c r="G22" s="1"/>
      <c r="H22" s="5"/>
      <c r="I22" s="5"/>
      <c r="J22" s="5"/>
      <c r="K22" s="1" t="str">
        <f t="shared" si="1"/>
        <v/>
      </c>
      <c r="L22" s="1"/>
    </row>
    <row r="23" spans="1:12" x14ac:dyDescent="0.3">
      <c r="E23" s="9"/>
      <c r="F23" s="1"/>
      <c r="G23" s="1"/>
      <c r="H23" s="5"/>
      <c r="I23" s="5"/>
      <c r="J23" s="5"/>
      <c r="K23" s="1" t="str">
        <f t="shared" si="1"/>
        <v/>
      </c>
      <c r="L23" s="1"/>
    </row>
    <row r="24" spans="1:12" x14ac:dyDescent="0.3">
      <c r="E24" s="9"/>
      <c r="F24" s="1"/>
      <c r="G24" s="1"/>
      <c r="H24" s="5"/>
      <c r="I24" s="5"/>
      <c r="J24" s="5"/>
      <c r="K24" s="1" t="str">
        <f t="shared" si="1"/>
        <v/>
      </c>
      <c r="L24" s="1"/>
    </row>
    <row r="25" spans="1:12" x14ac:dyDescent="0.3">
      <c r="E25" s="9"/>
      <c r="F25" s="1"/>
      <c r="G25" s="1"/>
      <c r="H25" s="5"/>
      <c r="I25" s="5"/>
      <c r="J25" s="5"/>
      <c r="K25" s="1" t="str">
        <f t="shared" si="1"/>
        <v/>
      </c>
      <c r="L25" s="1"/>
    </row>
    <row r="26" spans="1:12" x14ac:dyDescent="0.3">
      <c r="E26" s="9"/>
      <c r="F26" s="1"/>
      <c r="G26" s="1"/>
      <c r="H26" s="5"/>
      <c r="I26" s="5"/>
      <c r="J26" s="5"/>
      <c r="K26" s="1" t="str">
        <f t="shared" si="1"/>
        <v/>
      </c>
      <c r="L26" s="1"/>
    </row>
    <row r="27" spans="1:12" x14ac:dyDescent="0.3">
      <c r="E27" s="9"/>
      <c r="F27" s="1"/>
      <c r="G27" s="1"/>
      <c r="H27" s="5"/>
      <c r="I27" s="5"/>
      <c r="J27" s="5"/>
      <c r="K27" s="1"/>
      <c r="L27" s="1"/>
    </row>
    <row r="28" spans="1:12" x14ac:dyDescent="0.3">
      <c r="E28" s="9"/>
      <c r="F28" s="1"/>
      <c r="G28" s="1"/>
      <c r="H28" s="5"/>
      <c r="I28" s="5"/>
      <c r="J28" s="5"/>
      <c r="K28" s="1"/>
      <c r="L28" s="1"/>
    </row>
    <row r="29" spans="1:12" x14ac:dyDescent="0.3">
      <c r="E29" s="9"/>
      <c r="F29" s="1"/>
      <c r="G29" s="1"/>
      <c r="H29" s="5"/>
      <c r="I29" s="5"/>
      <c r="J29" s="5"/>
      <c r="K29" s="1"/>
      <c r="L29" s="1"/>
    </row>
  </sheetData>
  <dataValidations count="3">
    <dataValidation type="date" showInputMessage="1" showErrorMessage="1" errorTitle="Invalid Date Format" error="Date Format should be DD-MM-YYYY" promptTitle="Date Format should be DD-MM-YYYY" sqref="H2:I33 H34:I1048576" xr:uid="{F72022C8-CF12-4433-95B3-FD930A755573}">
      <formula1>44562</formula1>
      <formula2>2958101</formula2>
    </dataValidation>
    <dataValidation showInputMessage="1" showErrorMessage="1" errorTitle="Invalid Date Format" error="Date Format should be DD-MM-YYYY" promptTitle="Date Format should be DD-MM-YYYY" sqref="H1:I1" xr:uid="{34BA5E00-69FC-4F7C-ACD7-2BE7F66D5C8F}"/>
    <dataValidation type="textLength" operator="lessThanOrEqual" allowBlank="1" showInputMessage="1" showErrorMessage="1" errorTitle="Task Name Length Invalid" error="Task Name length should be &lt;= 36" promptTitle="Task Name length should be &lt;= 36" sqref="G1:G1048576" xr:uid="{A943ADA1-40BA-4FE6-B189-0BDC200A3477}">
      <formula1>36</formula1>
    </dataValidation>
  </dataValidations>
  <hyperlinks>
    <hyperlink ref="A1" location="Index!A1" display="INDEX" xr:uid="{D0270316-DBDA-41EB-B34D-DA100422AFFA}"/>
    <hyperlink ref="B2" location="'Sumant Nandanwadkar'!A1" tooltip="Go to Sumant Nandanwadkar" display="Sumant Nandanwadkar" xr:uid="{1B03F188-474E-42F8-8C8F-4B14B8528997}"/>
    <hyperlink ref="B3" location="'Nikhil Joshi'!A1" tooltip="Go to Nikhil Joshi" display="Nikhil Joshi" xr:uid="{84ECE466-5622-4D81-AD8B-B3F26CC1EE52}"/>
    <hyperlink ref="B4" location="'Nikhil Dhepe'!A1" tooltip="Go to Nikhil Dhepe" display="Nikhil Dhepe" xr:uid="{3E067B5A-9A0F-46D5-AE6A-AD8B354E9DA4}"/>
    <hyperlink ref="B5" location="'Supriya Kshirsagar Joshi'!A1" tooltip="Go to Supriya Kshirsagar Joshi" display="Supriya Kshirsagar Joshi" xr:uid="{80DB54B4-D887-4A81-86F2-7EA201FCA221}"/>
    <hyperlink ref="B6" location="'Purva Ghag'!A1" tooltip="Go to Purva Ghag" display="Purva Ghag" xr:uid="{77C26DEC-2B75-40D8-9A18-A27B9333FC09}"/>
    <hyperlink ref="B7" location="'Sapana Gawande'!A1" tooltip="Go to Sapana Gawande" display="Sapana Gawande" xr:uid="{15291DA6-55D9-4DAF-9C4D-40E405F8F68C}"/>
    <hyperlink ref="B8" location="'Sachin Shet'!A1" tooltip="Go to Sachin Shet" display="Sachin Shet" xr:uid="{65571353-A7D7-4BB7-9169-2B9D5A548ADE}"/>
    <hyperlink ref="B9" location="'Amit Sinha'!A1" tooltip="Go to Amit Sinha" display="Amit Sinha" xr:uid="{5AD9B92E-57AE-4FEE-BF20-385ABD1D4F86}"/>
    <hyperlink ref="B10" location="'YC'!A1" tooltip="Go to YC" display="YC" xr:uid="{44D153A1-455D-4636-A258-273E633CAA51}"/>
    <hyperlink ref="B11" location="'TBA'!A1" tooltip="Go to TBA" display="TBA" xr:uid="{6369B586-9D7E-448B-922D-7779B90FD519}"/>
  </hyperlink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Button5_Click">
                <anchor moveWithCells="1" sizeWithCells="1">
                  <from>
                    <xdr:col>3</xdr:col>
                    <xdr:colOff>7620</xdr:colOff>
                    <xdr:row>0</xdr:row>
                    <xdr:rowOff>15240</xdr:rowOff>
                  </from>
                  <to>
                    <xdr:col>3</xdr:col>
                    <xdr:colOff>754380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A35D0-B2E1-42B5-91B7-BF928A491B33}">
  <dimension ref="A1:I12"/>
  <sheetViews>
    <sheetView workbookViewId="0">
      <selection activeCell="D3" sqref="D3:F3"/>
    </sheetView>
  </sheetViews>
  <sheetFormatPr defaultRowHeight="14.4" x14ac:dyDescent="0.3"/>
  <cols>
    <col min="2" max="2" width="3.44140625" bestFit="1" customWidth="1"/>
    <col min="3" max="3" width="20.109375" bestFit="1" customWidth="1"/>
    <col min="4" max="4" width="18.33203125" bestFit="1" customWidth="1"/>
    <col min="5" max="6" width="10.33203125" bestFit="1" customWidth="1"/>
    <col min="7" max="7" width="45.21875" bestFit="1" customWidth="1"/>
    <col min="8" max="8" width="11.6640625" bestFit="1" customWidth="1"/>
  </cols>
  <sheetData>
    <row r="1" spans="1:9" ht="28.8" x14ac:dyDescent="0.3">
      <c r="A1" s="3" t="s">
        <v>41</v>
      </c>
      <c r="B1" s="34" t="s">
        <v>1</v>
      </c>
      <c r="C1" s="34" t="s">
        <v>0</v>
      </c>
      <c r="D1" s="34" t="s">
        <v>33</v>
      </c>
      <c r="E1" s="35" t="s">
        <v>36</v>
      </c>
      <c r="F1" s="35" t="s">
        <v>37</v>
      </c>
      <c r="G1" s="35" t="s">
        <v>28</v>
      </c>
      <c r="H1" s="7" t="s">
        <v>3</v>
      </c>
      <c r="I1" s="2" t="s">
        <v>5</v>
      </c>
    </row>
    <row r="2" spans="1:9" x14ac:dyDescent="0.3">
      <c r="B2" s="8">
        <v>1</v>
      </c>
      <c r="C2" s="1" t="s">
        <v>4</v>
      </c>
      <c r="D2" s="1" t="s">
        <v>43</v>
      </c>
      <c r="E2" s="40">
        <v>44726</v>
      </c>
      <c r="F2" s="40">
        <v>44737</v>
      </c>
      <c r="G2" s="5" t="str">
        <f>VLOOKUP(I2,Index!$N:$O,2,0)</f>
        <v>GSDRS/SDCO/GSC\SPM03-Senior Consultant - Testing</v>
      </c>
      <c r="H2" s="1">
        <f>IF(LEN(D2)=0,"",LEN(D2))</f>
        <v>11</v>
      </c>
      <c r="I2" s="1" t="str">
        <f>VLOOKUP(C2,Index!$A:$C,3,0)</f>
        <v>5T</v>
      </c>
    </row>
    <row r="3" spans="1:9" x14ac:dyDescent="0.3">
      <c r="B3" s="8">
        <v>2</v>
      </c>
      <c r="C3" s="1" t="s">
        <v>4</v>
      </c>
      <c r="G3" s="5" t="str">
        <f>VLOOKUP(I3,Index!$N:$O,2,0)</f>
        <v>GSDRS/SDCO/GSC\SPM03-Senior Consultant - Testing</v>
      </c>
      <c r="H3" s="1">
        <f>IF(LEN('Nikhil Dhepe'!D2)=0,"",LEN('Nikhil Dhepe'!D2))</f>
        <v>11</v>
      </c>
      <c r="I3" s="1" t="str">
        <f>VLOOKUP(C3,Index!$A:$C,3,0)</f>
        <v>5T</v>
      </c>
    </row>
    <row r="4" spans="1:9" x14ac:dyDescent="0.3">
      <c r="B4" s="8">
        <v>3</v>
      </c>
      <c r="C4" s="1" t="s">
        <v>4</v>
      </c>
      <c r="D4" s="1"/>
      <c r="E4" s="5"/>
      <c r="F4" s="5"/>
      <c r="G4" s="5" t="str">
        <f>VLOOKUP(I4,Index!$N:$O,2,0)</f>
        <v>GSDRS/SDCO/GSC\SPM03-Senior Consultant - Testing</v>
      </c>
      <c r="H4" s="1" t="str">
        <f t="shared" ref="H4:H12" si="0">IF(LEN(D4)=0,"",LEN(D4))</f>
        <v/>
      </c>
      <c r="I4" s="1" t="str">
        <f>VLOOKUP(C4,Index!$A:$C,3,0)</f>
        <v>5T</v>
      </c>
    </row>
    <row r="5" spans="1:9" x14ac:dyDescent="0.3">
      <c r="B5" s="9">
        <v>4</v>
      </c>
      <c r="C5" s="1" t="s">
        <v>4</v>
      </c>
      <c r="D5" s="1"/>
      <c r="E5" s="5"/>
      <c r="F5" s="5"/>
      <c r="G5" s="5" t="str">
        <f>VLOOKUP(I5,Index!$N:$O,2,0)</f>
        <v>GSDRS/SDCO/GSC\SPM03-Senior Consultant - Testing</v>
      </c>
      <c r="H5" s="1" t="str">
        <f t="shared" si="0"/>
        <v/>
      </c>
      <c r="I5" s="1" t="str">
        <f>VLOOKUP(C5,Index!$A:$C,3,0)</f>
        <v>5T</v>
      </c>
    </row>
    <row r="6" spans="1:9" x14ac:dyDescent="0.3">
      <c r="B6" s="9">
        <v>5</v>
      </c>
      <c r="C6" s="1" t="s">
        <v>4</v>
      </c>
      <c r="D6" s="1"/>
      <c r="E6" s="5"/>
      <c r="F6" s="5"/>
      <c r="G6" s="5" t="str">
        <f>VLOOKUP(I6,Index!$N:$O,2,0)</f>
        <v>GSDRS/SDCO/GSC\SPM03-Senior Consultant - Testing</v>
      </c>
      <c r="H6" s="1" t="str">
        <f t="shared" si="0"/>
        <v/>
      </c>
      <c r="I6" s="1" t="str">
        <f>VLOOKUP(C6,Index!$A:$C,3,0)</f>
        <v>5T</v>
      </c>
    </row>
    <row r="7" spans="1:9" x14ac:dyDescent="0.3">
      <c r="B7" s="9">
        <v>6</v>
      </c>
      <c r="C7" s="1" t="s">
        <v>4</v>
      </c>
      <c r="D7" s="1"/>
      <c r="E7" s="5"/>
      <c r="F7" s="5"/>
      <c r="G7" s="5" t="str">
        <f>VLOOKUP(I7,Index!$N:$O,2,0)</f>
        <v>GSDRS/SDCO/GSC\SPM03-Senior Consultant - Testing</v>
      </c>
      <c r="H7" s="1" t="str">
        <f t="shared" si="0"/>
        <v/>
      </c>
      <c r="I7" s="1" t="str">
        <f>VLOOKUP(C7,Index!$A:$C,3,0)</f>
        <v>5T</v>
      </c>
    </row>
    <row r="8" spans="1:9" x14ac:dyDescent="0.3">
      <c r="B8" s="9">
        <v>7</v>
      </c>
      <c r="C8" s="1" t="s">
        <v>4</v>
      </c>
      <c r="D8" s="1"/>
      <c r="E8" s="5"/>
      <c r="F8" s="5"/>
      <c r="G8" s="5" t="str">
        <f>VLOOKUP(I8,Index!$N:$O,2,0)</f>
        <v>GSDRS/SDCO/GSC\SPM03-Senior Consultant - Testing</v>
      </c>
      <c r="H8" s="1" t="str">
        <f t="shared" si="0"/>
        <v/>
      </c>
      <c r="I8" s="1" t="str">
        <f>VLOOKUP(C8,Index!$A:$C,3,0)</f>
        <v>5T</v>
      </c>
    </row>
    <row r="9" spans="1:9" x14ac:dyDescent="0.3">
      <c r="B9" s="9">
        <v>8</v>
      </c>
      <c r="C9" s="1" t="s">
        <v>4</v>
      </c>
      <c r="D9" s="1"/>
      <c r="E9" s="5"/>
      <c r="F9" s="5"/>
      <c r="G9" s="5" t="str">
        <f>VLOOKUP(I9,Index!$N:$O,2,0)</f>
        <v>GSDRS/SDCO/GSC\SPM03-Senior Consultant - Testing</v>
      </c>
      <c r="H9" s="1" t="str">
        <f t="shared" si="0"/>
        <v/>
      </c>
      <c r="I9" s="1" t="str">
        <f>VLOOKUP(C9,Index!$A:$C,3,0)</f>
        <v>5T</v>
      </c>
    </row>
    <row r="10" spans="1:9" x14ac:dyDescent="0.3">
      <c r="B10" s="9">
        <v>9</v>
      </c>
      <c r="C10" s="1" t="s">
        <v>4</v>
      </c>
      <c r="D10" s="1"/>
      <c r="E10" s="5"/>
      <c r="F10" s="5"/>
      <c r="G10" s="5" t="str">
        <f>VLOOKUP(I10,Index!$N:$O,2,0)</f>
        <v>GSDRS/SDCO/GSC\SPM03-Senior Consultant - Testing</v>
      </c>
      <c r="H10" s="1" t="str">
        <f t="shared" si="0"/>
        <v/>
      </c>
      <c r="I10" s="1" t="str">
        <f>VLOOKUP(C10,Index!$A:$C,3,0)</f>
        <v>5T</v>
      </c>
    </row>
    <row r="11" spans="1:9" x14ac:dyDescent="0.3">
      <c r="B11" s="9">
        <v>10</v>
      </c>
      <c r="C11" s="1" t="s">
        <v>4</v>
      </c>
      <c r="D11" s="1"/>
      <c r="E11" s="5"/>
      <c r="F11" s="5"/>
      <c r="G11" s="5" t="str">
        <f>VLOOKUP(I11,Index!$N:$O,2,0)</f>
        <v>GSDRS/SDCO/GSC\SPM03-Senior Consultant - Testing</v>
      </c>
      <c r="H11" s="1" t="str">
        <f t="shared" si="0"/>
        <v/>
      </c>
      <c r="I11" s="1" t="str">
        <f>VLOOKUP(C11,Index!$A:$C,3,0)</f>
        <v>5T</v>
      </c>
    </row>
    <row r="12" spans="1:9" x14ac:dyDescent="0.3">
      <c r="B12" s="9">
        <v>11</v>
      </c>
      <c r="C12" s="1" t="s">
        <v>4</v>
      </c>
      <c r="D12" s="1"/>
      <c r="E12" s="5"/>
      <c r="F12" s="5"/>
      <c r="G12" s="5" t="str">
        <f>VLOOKUP(I12,Index!$N:$O,2,0)</f>
        <v>GSDRS/SDCO/GSC\SPM03-Senior Consultant - Testing</v>
      </c>
      <c r="H12" s="1" t="str">
        <f t="shared" si="0"/>
        <v/>
      </c>
      <c r="I12" s="1" t="str">
        <f>VLOOKUP(C12,Index!$A:$C,3,0)</f>
        <v>5T</v>
      </c>
    </row>
  </sheetData>
  <dataValidations count="3">
    <dataValidation showInputMessage="1" showErrorMessage="1" errorTitle="Invalid Date Format" error="Date Format should be DD-MM-YYYY" promptTitle="Date Format should be DD-MM-YYYY" sqref="E1:F1" xr:uid="{4DE0C013-CB02-4609-B511-D4414A4B9F99}"/>
    <dataValidation type="textLength" operator="lessThanOrEqual" allowBlank="1" showInputMessage="1" showErrorMessage="1" errorTitle="Task Name Length Invalid" error="Task Name length should be &lt;= 36" promptTitle="Task Name length should be &lt;= 36" sqref="D1:D2 D4:D12" xr:uid="{D5AAF16E-B6F0-4E7E-AAE6-14752535D86C}">
      <formula1>36</formula1>
    </dataValidation>
    <dataValidation type="date" showInputMessage="1" showErrorMessage="1" errorTitle="Invalid Date Format" error="Date Format should be DD-MM-YYYY" promptTitle="Date Format should be DD-MM-YYYY" sqref="E2:F2 E4:F12" xr:uid="{E62C941F-BA53-4EEF-AE7A-2EC0181983BD}">
      <formula1>44562</formula1>
      <formula2>2958101</formula2>
    </dataValidation>
  </dataValidations>
  <hyperlinks>
    <hyperlink ref="A1" location="'Index'!A1" tooltip="Return to Index" display="Index" xr:uid="{266CAF17-DDD8-4C84-BA67-9CC94C835B9D}"/>
  </hyperlink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9889E4-BC72-490D-8E0A-352021A96A87}">
  <dimension ref="A1:I12"/>
  <sheetViews>
    <sheetView workbookViewId="0">
      <selection activeCell="H1" sqref="H1:H1048576"/>
    </sheetView>
  </sheetViews>
  <sheetFormatPr defaultRowHeight="14.4" x14ac:dyDescent="0.3"/>
  <cols>
    <col min="2" max="2" width="3.44140625" bestFit="1" customWidth="1"/>
    <col min="3" max="3" width="10" bestFit="1" customWidth="1"/>
    <col min="4" max="4" width="18.33203125" bestFit="1" customWidth="1"/>
    <col min="5" max="6" width="10.33203125" bestFit="1" customWidth="1"/>
    <col min="7" max="7" width="39.5546875" bestFit="1" customWidth="1"/>
    <col min="8" max="8" width="11.6640625" bestFit="1" customWidth="1"/>
  </cols>
  <sheetData>
    <row r="1" spans="1:9" ht="28.8" x14ac:dyDescent="0.3">
      <c r="A1" s="3" t="s">
        <v>41</v>
      </c>
      <c r="B1" s="34" t="s">
        <v>1</v>
      </c>
      <c r="C1" s="34" t="s">
        <v>0</v>
      </c>
      <c r="D1" s="34" t="s">
        <v>33</v>
      </c>
      <c r="E1" s="35" t="s">
        <v>36</v>
      </c>
      <c r="F1" s="35" t="s">
        <v>37</v>
      </c>
      <c r="G1" s="35" t="s">
        <v>28</v>
      </c>
      <c r="H1" s="7" t="s">
        <v>3</v>
      </c>
      <c r="I1" s="2" t="s">
        <v>5</v>
      </c>
    </row>
    <row r="2" spans="1:9" x14ac:dyDescent="0.3">
      <c r="B2" s="8">
        <v>1</v>
      </c>
      <c r="C2" s="1" t="s">
        <v>7</v>
      </c>
      <c r="D2" s="1" t="s">
        <v>42</v>
      </c>
      <c r="E2" s="40">
        <v>44726</v>
      </c>
      <c r="F2" s="40">
        <v>44737</v>
      </c>
      <c r="G2" s="5" t="str">
        <f>VLOOKUP(I2,Index!$N:$O,2,0)</f>
        <v>GSDRS/SDCO/GSC\SPM03-Consultant - Testing</v>
      </c>
      <c r="H2" s="1">
        <f>IF(LEN(D2)=0,"",LEN(D2))</f>
        <v>11</v>
      </c>
      <c r="I2" s="1" t="str">
        <f>VLOOKUP(C2,Index!$A:$C,3,0)</f>
        <v>4T</v>
      </c>
    </row>
    <row r="3" spans="1:9" x14ac:dyDescent="0.3">
      <c r="B3" s="8">
        <v>2</v>
      </c>
      <c r="C3" s="1" t="s">
        <v>7</v>
      </c>
      <c r="D3" s="1"/>
      <c r="E3" s="5"/>
      <c r="F3" s="5"/>
      <c r="G3" s="5" t="str">
        <f>VLOOKUP(I3,Index!$N:$O,2,0)</f>
        <v>GSDRS/SDCO/GSC\SPM03-Consultant - Testing</v>
      </c>
      <c r="H3" s="1" t="str">
        <f t="shared" ref="H3:H12" si="0">IF(LEN(D3)=0,"",LEN(D3))</f>
        <v/>
      </c>
      <c r="I3" s="1" t="str">
        <f>VLOOKUP(C3,Index!$A:$C,3,0)</f>
        <v>4T</v>
      </c>
    </row>
    <row r="4" spans="1:9" x14ac:dyDescent="0.3">
      <c r="B4" s="8">
        <v>3</v>
      </c>
      <c r="C4" s="1" t="s">
        <v>7</v>
      </c>
      <c r="D4" s="1"/>
      <c r="E4" s="5"/>
      <c r="F4" s="5"/>
      <c r="G4" s="5" t="str">
        <f>VLOOKUP(I4,Index!$N:$O,2,0)</f>
        <v>GSDRS/SDCO/GSC\SPM03-Consultant - Testing</v>
      </c>
      <c r="H4" s="1" t="str">
        <f t="shared" si="0"/>
        <v/>
      </c>
      <c r="I4" s="1" t="str">
        <f>VLOOKUP(C4,Index!$A:$C,3,0)</f>
        <v>4T</v>
      </c>
    </row>
    <row r="5" spans="1:9" x14ac:dyDescent="0.3">
      <c r="B5" s="9">
        <v>4</v>
      </c>
      <c r="C5" s="1" t="s">
        <v>7</v>
      </c>
      <c r="D5" s="1"/>
      <c r="E5" s="5"/>
      <c r="F5" s="5"/>
      <c r="G5" s="5" t="str">
        <f>VLOOKUP(I5,Index!$N:$O,2,0)</f>
        <v>GSDRS/SDCO/GSC\SPM03-Consultant - Testing</v>
      </c>
      <c r="H5" s="1" t="str">
        <f t="shared" si="0"/>
        <v/>
      </c>
      <c r="I5" s="1" t="str">
        <f>VLOOKUP(C5,Index!$A:$C,3,0)</f>
        <v>4T</v>
      </c>
    </row>
    <row r="6" spans="1:9" x14ac:dyDescent="0.3">
      <c r="B6" s="9">
        <v>5</v>
      </c>
      <c r="C6" s="1" t="s">
        <v>7</v>
      </c>
      <c r="D6" s="1"/>
      <c r="E6" s="5"/>
      <c r="F6" s="5"/>
      <c r="G6" s="5" t="str">
        <f>VLOOKUP(I6,Index!$N:$O,2,0)</f>
        <v>GSDRS/SDCO/GSC\SPM03-Consultant - Testing</v>
      </c>
      <c r="H6" s="1" t="str">
        <f t="shared" si="0"/>
        <v/>
      </c>
      <c r="I6" s="1" t="str">
        <f>VLOOKUP(C6,Index!$A:$C,3,0)</f>
        <v>4T</v>
      </c>
    </row>
    <row r="7" spans="1:9" x14ac:dyDescent="0.3">
      <c r="B7" s="9">
        <v>6</v>
      </c>
      <c r="C7" s="1" t="s">
        <v>7</v>
      </c>
      <c r="D7" s="1"/>
      <c r="E7" s="5"/>
      <c r="F7" s="5"/>
      <c r="G7" s="5" t="str">
        <f>VLOOKUP(I7,Index!$N:$O,2,0)</f>
        <v>GSDRS/SDCO/GSC\SPM03-Consultant - Testing</v>
      </c>
      <c r="H7" s="1" t="str">
        <f t="shared" si="0"/>
        <v/>
      </c>
      <c r="I7" s="1" t="str">
        <f>VLOOKUP(C7,Index!$A:$C,3,0)</f>
        <v>4T</v>
      </c>
    </row>
    <row r="8" spans="1:9" x14ac:dyDescent="0.3">
      <c r="B8" s="9">
        <v>7</v>
      </c>
      <c r="C8" s="1" t="s">
        <v>7</v>
      </c>
      <c r="D8" s="1"/>
      <c r="E8" s="5"/>
      <c r="F8" s="5"/>
      <c r="G8" s="5" t="str">
        <f>VLOOKUP(I8,Index!$N:$O,2,0)</f>
        <v>GSDRS/SDCO/GSC\SPM03-Consultant - Testing</v>
      </c>
      <c r="H8" s="1" t="str">
        <f t="shared" si="0"/>
        <v/>
      </c>
      <c r="I8" s="1" t="str">
        <f>VLOOKUP(C8,Index!$A:$C,3,0)</f>
        <v>4T</v>
      </c>
    </row>
    <row r="9" spans="1:9" x14ac:dyDescent="0.3">
      <c r="B9" s="9">
        <v>8</v>
      </c>
      <c r="C9" s="1" t="s">
        <v>7</v>
      </c>
      <c r="D9" s="1"/>
      <c r="E9" s="5"/>
      <c r="F9" s="5"/>
      <c r="G9" s="5" t="str">
        <f>VLOOKUP(I9,Index!$N:$O,2,0)</f>
        <v>GSDRS/SDCO/GSC\SPM03-Consultant - Testing</v>
      </c>
      <c r="H9" s="1" t="str">
        <f t="shared" si="0"/>
        <v/>
      </c>
      <c r="I9" s="1" t="str">
        <f>VLOOKUP(C9,Index!$A:$C,3,0)</f>
        <v>4T</v>
      </c>
    </row>
    <row r="10" spans="1:9" x14ac:dyDescent="0.3">
      <c r="B10" s="9">
        <v>9</v>
      </c>
      <c r="C10" s="1" t="s">
        <v>7</v>
      </c>
      <c r="D10" s="1"/>
      <c r="E10" s="5"/>
      <c r="F10" s="5"/>
      <c r="G10" s="5" t="str">
        <f>VLOOKUP(I10,Index!$N:$O,2,0)</f>
        <v>GSDRS/SDCO/GSC\SPM03-Consultant - Testing</v>
      </c>
      <c r="H10" s="1" t="str">
        <f t="shared" si="0"/>
        <v/>
      </c>
      <c r="I10" s="1" t="str">
        <f>VLOOKUP(C10,Index!$A:$C,3,0)</f>
        <v>4T</v>
      </c>
    </row>
    <row r="11" spans="1:9" x14ac:dyDescent="0.3">
      <c r="B11" s="9">
        <v>10</v>
      </c>
      <c r="C11" s="1" t="s">
        <v>7</v>
      </c>
      <c r="D11" s="1"/>
      <c r="E11" s="5"/>
      <c r="F11" s="5"/>
      <c r="G11" s="5" t="str">
        <f>VLOOKUP(I11,Index!$N:$O,2,0)</f>
        <v>GSDRS/SDCO/GSC\SPM03-Consultant - Testing</v>
      </c>
      <c r="H11" s="1" t="str">
        <f t="shared" si="0"/>
        <v/>
      </c>
      <c r="I11" s="1" t="str">
        <f>VLOOKUP(C11,Index!$A:$C,3,0)</f>
        <v>4T</v>
      </c>
    </row>
    <row r="12" spans="1:9" x14ac:dyDescent="0.3">
      <c r="B12" s="9">
        <v>11</v>
      </c>
      <c r="C12" s="1" t="s">
        <v>7</v>
      </c>
      <c r="D12" s="1"/>
      <c r="E12" s="5"/>
      <c r="F12" s="5"/>
      <c r="G12" s="5" t="str">
        <f>VLOOKUP(I12,Index!$N:$O,2,0)</f>
        <v>GSDRS/SDCO/GSC\SPM03-Consultant - Testing</v>
      </c>
      <c r="H12" s="1" t="str">
        <f t="shared" si="0"/>
        <v/>
      </c>
      <c r="I12" s="1" t="str">
        <f>VLOOKUP(C12,Index!$A:$C,3,0)</f>
        <v>4T</v>
      </c>
    </row>
  </sheetData>
  <dataValidations count="3">
    <dataValidation type="textLength" operator="lessThanOrEqual" allowBlank="1" showInputMessage="1" showErrorMessage="1" errorTitle="Task Name Length Invalid" error="Task Name length should be &lt;= 36" promptTitle="Task Name length should be &lt;= 36" sqref="D1:D12" xr:uid="{B5134898-C3A7-45A2-8D9C-B37F133B8B99}">
      <formula1>36</formula1>
    </dataValidation>
    <dataValidation showInputMessage="1" showErrorMessage="1" errorTitle="Invalid Date Format" error="Date Format should be DD-MM-YYYY" promptTitle="Date Format should be DD-MM-YYYY" sqref="E1:F1" xr:uid="{527D79BA-EBAB-424D-AF29-B15EEE975140}"/>
    <dataValidation type="date" showInputMessage="1" showErrorMessage="1" errorTitle="Invalid Date Format" error="Date Format should be DD-MM-YYYY" promptTitle="Date Format should be DD-MM-YYYY" sqref="E2:F12" xr:uid="{D72D2306-5F1F-4374-839A-08A5C1E37670}">
      <formula1>44562</formula1>
      <formula2>2958101</formula2>
    </dataValidation>
  </dataValidations>
  <hyperlinks>
    <hyperlink ref="A1" location="'Index'!A1" tooltip="Return to Index" display="Index" xr:uid="{6DFC1076-AA85-49B3-9C51-4FFB016884FB}"/>
  </hyperlink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743C4-2251-4339-966D-BEB356506D6A}">
  <dimension ref="A1:I12"/>
  <sheetViews>
    <sheetView workbookViewId="0">
      <selection activeCell="D2" sqref="D2:F2"/>
    </sheetView>
  </sheetViews>
  <sheetFormatPr defaultRowHeight="14.4" x14ac:dyDescent="0.3"/>
  <cols>
    <col min="2" max="2" width="3.44140625" bestFit="1" customWidth="1"/>
    <col min="3" max="3" width="11.21875" bestFit="1" customWidth="1"/>
    <col min="4" max="4" width="18.33203125" bestFit="1" customWidth="1"/>
    <col min="5" max="6" width="10.33203125" bestFit="1" customWidth="1"/>
    <col min="7" max="7" width="48" bestFit="1" customWidth="1"/>
    <col min="8" max="8" width="11.6640625" bestFit="1" customWidth="1"/>
  </cols>
  <sheetData>
    <row r="1" spans="1:9" ht="28.8" x14ac:dyDescent="0.3">
      <c r="A1" s="3" t="s">
        <v>41</v>
      </c>
      <c r="B1" s="34" t="s">
        <v>1</v>
      </c>
      <c r="C1" s="34" t="s">
        <v>0</v>
      </c>
      <c r="D1" s="34" t="s">
        <v>33</v>
      </c>
      <c r="E1" s="35" t="s">
        <v>36</v>
      </c>
      <c r="F1" s="35" t="s">
        <v>37</v>
      </c>
      <c r="G1" s="35" t="s">
        <v>28</v>
      </c>
      <c r="H1" s="7" t="s">
        <v>3</v>
      </c>
      <c r="I1" s="2" t="s">
        <v>5</v>
      </c>
    </row>
    <row r="2" spans="1:9" x14ac:dyDescent="0.3">
      <c r="B2" s="8">
        <v>1</v>
      </c>
      <c r="C2" s="1" t="s">
        <v>31</v>
      </c>
      <c r="D2" s="1" t="s">
        <v>43</v>
      </c>
      <c r="E2" s="40">
        <v>44726</v>
      </c>
      <c r="F2" s="40">
        <v>44925</v>
      </c>
      <c r="G2" s="5" t="str">
        <f>VLOOKUP(I2,Index!$N:$O,2,0)</f>
        <v>GSDRS/SDCO/GSC\SPM03-Asscociate Consultant-Testing</v>
      </c>
      <c r="H2" s="1" t="e">
        <f>IF(LEN(#REF!)=0,"",LEN(#REF!))</f>
        <v>#REF!</v>
      </c>
      <c r="I2" s="1" t="str">
        <f>VLOOKUP(C2,Index!$A:$C,3,0)</f>
        <v>3T</v>
      </c>
    </row>
    <row r="3" spans="1:9" x14ac:dyDescent="0.3">
      <c r="B3" s="8">
        <v>2</v>
      </c>
      <c r="C3" s="1" t="s">
        <v>31</v>
      </c>
      <c r="D3" s="1"/>
      <c r="E3" s="5"/>
      <c r="F3" s="5"/>
      <c r="G3" s="5" t="str">
        <f>VLOOKUP(I3,Index!$N:$O,2,0)</f>
        <v>GSDRS/SDCO/GSC\SPM03-Asscociate Consultant-Testing</v>
      </c>
      <c r="H3" s="1" t="str">
        <f t="shared" ref="H3:H12" si="0">IF(LEN(D3)=0,"",LEN(D3))</f>
        <v/>
      </c>
      <c r="I3" s="1" t="str">
        <f>VLOOKUP(C3,Index!$A:$C,3,0)</f>
        <v>3T</v>
      </c>
    </row>
    <row r="4" spans="1:9" x14ac:dyDescent="0.3">
      <c r="B4" s="8">
        <v>3</v>
      </c>
      <c r="C4" s="1" t="s">
        <v>31</v>
      </c>
      <c r="D4" s="1"/>
      <c r="E4" s="5"/>
      <c r="F4" s="5"/>
      <c r="G4" s="5" t="str">
        <f>VLOOKUP(I4,Index!$N:$O,2,0)</f>
        <v>GSDRS/SDCO/GSC\SPM03-Asscociate Consultant-Testing</v>
      </c>
      <c r="H4" s="1" t="str">
        <f t="shared" si="0"/>
        <v/>
      </c>
      <c r="I4" s="1" t="str">
        <f>VLOOKUP(C4,Index!$A:$C,3,0)</f>
        <v>3T</v>
      </c>
    </row>
    <row r="5" spans="1:9" x14ac:dyDescent="0.3">
      <c r="B5" s="9">
        <v>4</v>
      </c>
      <c r="C5" s="1" t="s">
        <v>31</v>
      </c>
      <c r="D5" s="1"/>
      <c r="E5" s="5"/>
      <c r="F5" s="5"/>
      <c r="G5" s="5" t="str">
        <f>VLOOKUP(I5,Index!$N:$O,2,0)</f>
        <v>GSDRS/SDCO/GSC\SPM03-Asscociate Consultant-Testing</v>
      </c>
      <c r="H5" s="1" t="str">
        <f t="shared" si="0"/>
        <v/>
      </c>
      <c r="I5" s="1" t="str">
        <f>VLOOKUP(C5,Index!$A:$C,3,0)</f>
        <v>3T</v>
      </c>
    </row>
    <row r="6" spans="1:9" x14ac:dyDescent="0.3">
      <c r="B6" s="9">
        <v>5</v>
      </c>
      <c r="C6" s="1" t="s">
        <v>31</v>
      </c>
      <c r="D6" s="1"/>
      <c r="E6" s="5"/>
      <c r="F6" s="5"/>
      <c r="G6" s="5" t="str">
        <f>VLOOKUP(I6,Index!$N:$O,2,0)</f>
        <v>GSDRS/SDCO/GSC\SPM03-Asscociate Consultant-Testing</v>
      </c>
      <c r="H6" s="1" t="str">
        <f t="shared" si="0"/>
        <v/>
      </c>
      <c r="I6" s="1" t="str">
        <f>VLOOKUP(C6,Index!$A:$C,3,0)</f>
        <v>3T</v>
      </c>
    </row>
    <row r="7" spans="1:9" x14ac:dyDescent="0.3">
      <c r="B7" s="9">
        <v>6</v>
      </c>
      <c r="C7" s="1" t="s">
        <v>31</v>
      </c>
      <c r="D7" s="1"/>
      <c r="E7" s="5"/>
      <c r="F7" s="5"/>
      <c r="G7" s="5" t="str">
        <f>VLOOKUP(I7,Index!$N:$O,2,0)</f>
        <v>GSDRS/SDCO/GSC\SPM03-Asscociate Consultant-Testing</v>
      </c>
      <c r="H7" s="1" t="str">
        <f t="shared" si="0"/>
        <v/>
      </c>
      <c r="I7" s="1" t="str">
        <f>VLOOKUP(C7,Index!$A:$C,3,0)</f>
        <v>3T</v>
      </c>
    </row>
    <row r="8" spans="1:9" x14ac:dyDescent="0.3">
      <c r="B8" s="9">
        <v>7</v>
      </c>
      <c r="C8" s="1" t="s">
        <v>31</v>
      </c>
      <c r="D8" s="1"/>
      <c r="E8" s="5"/>
      <c r="F8" s="5"/>
      <c r="G8" s="5" t="str">
        <f>VLOOKUP(I8,Index!$N:$O,2,0)</f>
        <v>GSDRS/SDCO/GSC\SPM03-Asscociate Consultant-Testing</v>
      </c>
      <c r="H8" s="1" t="str">
        <f t="shared" si="0"/>
        <v/>
      </c>
      <c r="I8" s="1" t="str">
        <f>VLOOKUP(C8,Index!$A:$C,3,0)</f>
        <v>3T</v>
      </c>
    </row>
    <row r="9" spans="1:9" x14ac:dyDescent="0.3">
      <c r="B9" s="9">
        <v>8</v>
      </c>
      <c r="C9" s="1" t="s">
        <v>31</v>
      </c>
      <c r="D9" s="1"/>
      <c r="E9" s="5"/>
      <c r="F9" s="5"/>
      <c r="G9" s="5" t="str">
        <f>VLOOKUP(I9,Index!$N:$O,2,0)</f>
        <v>GSDRS/SDCO/GSC\SPM03-Asscociate Consultant-Testing</v>
      </c>
      <c r="H9" s="1" t="str">
        <f t="shared" si="0"/>
        <v/>
      </c>
      <c r="I9" s="1" t="str">
        <f>VLOOKUP(C9,Index!$A:$C,3,0)</f>
        <v>3T</v>
      </c>
    </row>
    <row r="10" spans="1:9" x14ac:dyDescent="0.3">
      <c r="B10" s="9">
        <v>9</v>
      </c>
      <c r="C10" s="1" t="s">
        <v>31</v>
      </c>
      <c r="D10" s="1"/>
      <c r="E10" s="5"/>
      <c r="F10" s="5"/>
      <c r="G10" s="5" t="str">
        <f>VLOOKUP(I10,Index!$N:$O,2,0)</f>
        <v>GSDRS/SDCO/GSC\SPM03-Asscociate Consultant-Testing</v>
      </c>
      <c r="H10" s="1" t="str">
        <f t="shared" si="0"/>
        <v/>
      </c>
      <c r="I10" s="1" t="str">
        <f>VLOOKUP(C10,Index!$A:$C,3,0)</f>
        <v>3T</v>
      </c>
    </row>
    <row r="11" spans="1:9" x14ac:dyDescent="0.3">
      <c r="B11" s="9">
        <v>10</v>
      </c>
      <c r="C11" s="1" t="s">
        <v>31</v>
      </c>
      <c r="D11" s="1"/>
      <c r="E11" s="5"/>
      <c r="F11" s="5"/>
      <c r="G11" s="5" t="str">
        <f>VLOOKUP(I11,Index!$N:$O,2,0)</f>
        <v>GSDRS/SDCO/GSC\SPM03-Asscociate Consultant-Testing</v>
      </c>
      <c r="H11" s="1" t="str">
        <f t="shared" si="0"/>
        <v/>
      </c>
      <c r="I11" s="1" t="str">
        <f>VLOOKUP(C11,Index!$A:$C,3,0)</f>
        <v>3T</v>
      </c>
    </row>
    <row r="12" spans="1:9" x14ac:dyDescent="0.3">
      <c r="B12" s="9">
        <v>11</v>
      </c>
      <c r="C12" s="1" t="s">
        <v>31</v>
      </c>
      <c r="D12" s="1"/>
      <c r="E12" s="5"/>
      <c r="F12" s="5"/>
      <c r="G12" s="5" t="str">
        <f>VLOOKUP(I12,Index!$N:$O,2,0)</f>
        <v>GSDRS/SDCO/GSC\SPM03-Asscociate Consultant-Testing</v>
      </c>
      <c r="H12" s="1" t="str">
        <f t="shared" si="0"/>
        <v/>
      </c>
      <c r="I12" s="1" t="str">
        <f>VLOOKUP(C12,Index!$A:$C,3,0)</f>
        <v>3T</v>
      </c>
    </row>
  </sheetData>
  <dataValidations count="3">
    <dataValidation type="textLength" operator="lessThanOrEqual" allowBlank="1" showInputMessage="1" showErrorMessage="1" errorTitle="Task Name Length Invalid" error="Task Name length should be &lt;= 36" promptTitle="Task Name length should be &lt;= 36" sqref="D1:D12" xr:uid="{930241F8-AC51-440C-9141-28BF05A4FBE5}">
      <formula1>36</formula1>
    </dataValidation>
    <dataValidation showInputMessage="1" showErrorMessage="1" errorTitle="Invalid Date Format" error="Date Format should be DD-MM-YYYY" promptTitle="Date Format should be DD-MM-YYYY" sqref="E1:F1" xr:uid="{8EE0BBA9-D9E2-47D0-9F0C-6D4941393D1F}"/>
    <dataValidation type="date" showInputMessage="1" showErrorMessage="1" errorTitle="Invalid Date Format" error="Date Format should be DD-MM-YYYY" promptTitle="Date Format should be DD-MM-YYYY" sqref="E2:F12" xr:uid="{8C27B095-F874-4047-8655-5EB2158436DC}">
      <formula1>44562</formula1>
      <formula2>2958101</formula2>
    </dataValidation>
  </dataValidations>
  <hyperlinks>
    <hyperlink ref="A1" location="'Index'!A1" tooltip="Return to Index" display="Index" xr:uid="{C6F6ECF1-3DFD-48B6-9DF6-2E94C72D955C}"/>
  </hyperlink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1698A-EA92-4097-A33E-337688D766D8}">
  <dimension ref="A1:I12"/>
  <sheetViews>
    <sheetView workbookViewId="0">
      <selection activeCell="C2" sqref="C2"/>
    </sheetView>
  </sheetViews>
  <sheetFormatPr defaultRowHeight="14.4" x14ac:dyDescent="0.3"/>
  <cols>
    <col min="2" max="2" width="3.44140625" bestFit="1" customWidth="1"/>
    <col min="3" max="3" width="20.21875" bestFit="1" customWidth="1"/>
    <col min="4" max="4" width="18.33203125" bestFit="1" customWidth="1"/>
    <col min="5" max="5" width="9.33203125" bestFit="1" customWidth="1"/>
    <col min="6" max="6" width="8.5546875" bestFit="1" customWidth="1"/>
    <col min="7" max="7" width="39.5546875" bestFit="1" customWidth="1"/>
    <col min="8" max="8" width="11.6640625" bestFit="1" customWidth="1"/>
  </cols>
  <sheetData>
    <row r="1" spans="1:9" ht="28.8" x14ac:dyDescent="0.3">
      <c r="A1" s="3" t="s">
        <v>41</v>
      </c>
      <c r="B1" s="34" t="s">
        <v>1</v>
      </c>
      <c r="C1" s="34" t="s">
        <v>0</v>
      </c>
      <c r="D1" s="34" t="s">
        <v>33</v>
      </c>
      <c r="E1" s="35" t="s">
        <v>36</v>
      </c>
      <c r="F1" s="35" t="s">
        <v>37</v>
      </c>
      <c r="G1" s="35" t="s">
        <v>28</v>
      </c>
      <c r="H1" s="7" t="s">
        <v>3</v>
      </c>
      <c r="I1" s="2" t="s">
        <v>5</v>
      </c>
    </row>
    <row r="2" spans="1:9" x14ac:dyDescent="0.3">
      <c r="B2" s="8">
        <v>1</v>
      </c>
      <c r="C2" s="1" t="s">
        <v>6</v>
      </c>
      <c r="D2" s="1"/>
      <c r="E2" s="5"/>
      <c r="F2" s="5"/>
      <c r="G2" s="5" t="str">
        <f>VLOOKUP(I2,Index!$N:$O,2,0)</f>
        <v>GSDRS/SDCO/GSC\SPM03-Consultant - Testing</v>
      </c>
      <c r="H2" s="1" t="str">
        <f>IF(LEN(D2)=0,"",LEN(D2))</f>
        <v/>
      </c>
      <c r="I2" s="1" t="str">
        <f>VLOOKUP(C2,Index!$A:$C,3,0)</f>
        <v>4T</v>
      </c>
    </row>
    <row r="3" spans="1:9" x14ac:dyDescent="0.3">
      <c r="B3" s="8">
        <v>2</v>
      </c>
      <c r="C3" s="1" t="s">
        <v>6</v>
      </c>
      <c r="D3" s="1"/>
      <c r="E3" s="5"/>
      <c r="F3" s="5"/>
      <c r="G3" s="5" t="str">
        <f>VLOOKUP(I3,Index!$N:$O,2,0)</f>
        <v>GSDRS/SDCO/GSC\SPM03-Consultant - Testing</v>
      </c>
      <c r="H3" s="1" t="str">
        <f t="shared" ref="H3:H12" si="0">IF(LEN(D3)=0,"",LEN(D3))</f>
        <v/>
      </c>
      <c r="I3" s="1" t="str">
        <f>VLOOKUP(C3,Index!$A:$C,3,0)</f>
        <v>4T</v>
      </c>
    </row>
    <row r="4" spans="1:9" x14ac:dyDescent="0.3">
      <c r="B4" s="8">
        <v>3</v>
      </c>
      <c r="C4" s="1" t="s">
        <v>6</v>
      </c>
      <c r="D4" s="1"/>
      <c r="E4" s="5"/>
      <c r="F4" s="5"/>
      <c r="G4" s="5" t="str">
        <f>VLOOKUP(I4,Index!$N:$O,2,0)</f>
        <v>GSDRS/SDCO/GSC\SPM03-Consultant - Testing</v>
      </c>
      <c r="H4" s="1" t="str">
        <f t="shared" si="0"/>
        <v/>
      </c>
      <c r="I4" s="1" t="str">
        <f>VLOOKUP(C4,Index!$A:$C,3,0)</f>
        <v>4T</v>
      </c>
    </row>
    <row r="5" spans="1:9" x14ac:dyDescent="0.3">
      <c r="B5" s="9">
        <v>4</v>
      </c>
      <c r="C5" s="1" t="s">
        <v>6</v>
      </c>
      <c r="D5" s="1"/>
      <c r="E5" s="5"/>
      <c r="F5" s="5"/>
      <c r="G5" s="5" t="str">
        <f>VLOOKUP(I5,Index!$N:$O,2,0)</f>
        <v>GSDRS/SDCO/GSC\SPM03-Consultant - Testing</v>
      </c>
      <c r="H5" s="1" t="str">
        <f t="shared" si="0"/>
        <v/>
      </c>
      <c r="I5" s="1" t="str">
        <f>VLOOKUP(C5,Index!$A:$C,3,0)</f>
        <v>4T</v>
      </c>
    </row>
    <row r="6" spans="1:9" x14ac:dyDescent="0.3">
      <c r="B6" s="9">
        <v>5</v>
      </c>
      <c r="C6" s="1" t="s">
        <v>6</v>
      </c>
      <c r="D6" s="1"/>
      <c r="E6" s="5"/>
      <c r="F6" s="5"/>
      <c r="G6" s="5" t="str">
        <f>VLOOKUP(I6,Index!$N:$O,2,0)</f>
        <v>GSDRS/SDCO/GSC\SPM03-Consultant - Testing</v>
      </c>
      <c r="H6" s="1" t="str">
        <f t="shared" si="0"/>
        <v/>
      </c>
      <c r="I6" s="1" t="str">
        <f>VLOOKUP(C6,Index!$A:$C,3,0)</f>
        <v>4T</v>
      </c>
    </row>
    <row r="7" spans="1:9" x14ac:dyDescent="0.3">
      <c r="B7" s="9">
        <v>6</v>
      </c>
      <c r="C7" s="1" t="s">
        <v>6</v>
      </c>
      <c r="D7" s="1"/>
      <c r="E7" s="5"/>
      <c r="F7" s="5"/>
      <c r="G7" s="5" t="str">
        <f>VLOOKUP(I7,Index!$N:$O,2,0)</f>
        <v>GSDRS/SDCO/GSC\SPM03-Consultant - Testing</v>
      </c>
      <c r="H7" s="1" t="str">
        <f t="shared" si="0"/>
        <v/>
      </c>
      <c r="I7" s="1" t="str">
        <f>VLOOKUP(C7,Index!$A:$C,3,0)</f>
        <v>4T</v>
      </c>
    </row>
    <row r="8" spans="1:9" x14ac:dyDescent="0.3">
      <c r="B8" s="9">
        <v>7</v>
      </c>
      <c r="C8" s="1" t="s">
        <v>6</v>
      </c>
      <c r="D8" s="1"/>
      <c r="E8" s="5"/>
      <c r="F8" s="5"/>
      <c r="G8" s="5" t="str">
        <f>VLOOKUP(I8,Index!$N:$O,2,0)</f>
        <v>GSDRS/SDCO/GSC\SPM03-Consultant - Testing</v>
      </c>
      <c r="H8" s="1" t="str">
        <f t="shared" si="0"/>
        <v/>
      </c>
      <c r="I8" s="1" t="str">
        <f>VLOOKUP(C8,Index!$A:$C,3,0)</f>
        <v>4T</v>
      </c>
    </row>
    <row r="9" spans="1:9" x14ac:dyDescent="0.3">
      <c r="B9" s="9">
        <v>8</v>
      </c>
      <c r="C9" s="1" t="s">
        <v>6</v>
      </c>
      <c r="D9" s="1"/>
      <c r="E9" s="5"/>
      <c r="F9" s="5"/>
      <c r="G9" s="5" t="str">
        <f>VLOOKUP(I9,Index!$N:$O,2,0)</f>
        <v>GSDRS/SDCO/GSC\SPM03-Consultant - Testing</v>
      </c>
      <c r="H9" s="1" t="str">
        <f t="shared" si="0"/>
        <v/>
      </c>
      <c r="I9" s="1" t="str">
        <f>VLOOKUP(C9,Index!$A:$C,3,0)</f>
        <v>4T</v>
      </c>
    </row>
    <row r="10" spans="1:9" x14ac:dyDescent="0.3">
      <c r="B10" s="9">
        <v>9</v>
      </c>
      <c r="C10" s="1" t="s">
        <v>6</v>
      </c>
      <c r="D10" s="1"/>
      <c r="E10" s="5"/>
      <c r="F10" s="5"/>
      <c r="G10" s="5" t="str">
        <f>VLOOKUP(I10,Index!$N:$O,2,0)</f>
        <v>GSDRS/SDCO/GSC\SPM03-Consultant - Testing</v>
      </c>
      <c r="H10" s="1" t="str">
        <f t="shared" si="0"/>
        <v/>
      </c>
      <c r="I10" s="1" t="str">
        <f>VLOOKUP(C10,Index!$A:$C,3,0)</f>
        <v>4T</v>
      </c>
    </row>
    <row r="11" spans="1:9" x14ac:dyDescent="0.3">
      <c r="B11" s="9">
        <v>10</v>
      </c>
      <c r="C11" s="1" t="s">
        <v>6</v>
      </c>
      <c r="D11" s="1"/>
      <c r="E11" s="5"/>
      <c r="F11" s="5"/>
      <c r="G11" s="5" t="str">
        <f>VLOOKUP(I11,Index!$N:$O,2,0)</f>
        <v>GSDRS/SDCO/GSC\SPM03-Consultant - Testing</v>
      </c>
      <c r="H11" s="1" t="str">
        <f t="shared" si="0"/>
        <v/>
      </c>
      <c r="I11" s="1" t="str">
        <f>VLOOKUP(C11,Index!$A:$C,3,0)</f>
        <v>4T</v>
      </c>
    </row>
    <row r="12" spans="1:9" x14ac:dyDescent="0.3">
      <c r="B12" s="9">
        <v>11</v>
      </c>
      <c r="C12" s="1" t="s">
        <v>6</v>
      </c>
      <c r="D12" s="1"/>
      <c r="E12" s="5"/>
      <c r="F12" s="5"/>
      <c r="G12" s="5" t="str">
        <f>VLOOKUP(I12,Index!$N:$O,2,0)</f>
        <v>GSDRS/SDCO/GSC\SPM03-Consultant - Testing</v>
      </c>
      <c r="H12" s="1" t="str">
        <f t="shared" si="0"/>
        <v/>
      </c>
      <c r="I12" s="1" t="str">
        <f>VLOOKUP(C12,Index!$A:$C,3,0)</f>
        <v>4T</v>
      </c>
    </row>
  </sheetData>
  <dataValidations count="3">
    <dataValidation type="textLength" operator="lessThanOrEqual" allowBlank="1" showInputMessage="1" showErrorMessage="1" errorTitle="Task Name Length Invalid" error="Task Name length should be &lt;= 36" promptTitle="Task Name length should be &lt;= 36" sqref="D1:D12" xr:uid="{23666B6D-3796-4B9E-B6A8-0460060A070F}">
      <formula1>36</formula1>
    </dataValidation>
    <dataValidation showInputMessage="1" showErrorMessage="1" errorTitle="Invalid Date Format" error="Date Format should be DD-MM-YYYY" promptTitle="Date Format should be DD-MM-YYYY" sqref="E1:F1" xr:uid="{E67CDEE6-0041-41B8-8967-698EB8253D22}"/>
    <dataValidation type="date" showInputMessage="1" showErrorMessage="1" errorTitle="Invalid Date Format" error="Date Format should be DD-MM-YYYY" promptTitle="Date Format should be DD-MM-YYYY" sqref="E2:F12" xr:uid="{5515AD1A-4DA9-4248-8009-A8E5FE08C8C8}">
      <formula1>44562</formula1>
      <formula2>2958101</formula2>
    </dataValidation>
  </dataValidations>
  <hyperlinks>
    <hyperlink ref="A1" location="'Index'!A1" tooltip="Return to Index" display="Index" xr:uid="{01E89466-B009-4F26-93BF-B825ACD3CA64}"/>
  </hyperlink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E0EBD0-4833-4783-9B2D-6264D2A16E33}">
  <dimension ref="A1:I12"/>
  <sheetViews>
    <sheetView workbookViewId="0">
      <selection activeCell="C2" sqref="C2"/>
    </sheetView>
  </sheetViews>
  <sheetFormatPr defaultRowHeight="14.4" x14ac:dyDescent="0.3"/>
  <cols>
    <col min="2" max="2" width="3.44140625" bestFit="1" customWidth="1"/>
    <col min="3" max="3" width="10.109375" bestFit="1" customWidth="1"/>
    <col min="4" max="4" width="18.33203125" bestFit="1" customWidth="1"/>
    <col min="5" max="5" width="9.33203125" bestFit="1" customWidth="1"/>
    <col min="6" max="6" width="8.5546875" bestFit="1" customWidth="1"/>
    <col min="7" max="7" width="38.6640625" bestFit="1" customWidth="1"/>
    <col min="8" max="8" width="11.6640625" bestFit="1" customWidth="1"/>
  </cols>
  <sheetData>
    <row r="1" spans="1:9" ht="28.8" x14ac:dyDescent="0.3">
      <c r="A1" s="3" t="s">
        <v>41</v>
      </c>
      <c r="B1" s="34" t="s">
        <v>1</v>
      </c>
      <c r="C1" s="34" t="s">
        <v>0</v>
      </c>
      <c r="D1" s="34" t="s">
        <v>33</v>
      </c>
      <c r="E1" s="35" t="s">
        <v>36</v>
      </c>
      <c r="F1" s="35" t="s">
        <v>37</v>
      </c>
      <c r="G1" s="35" t="s">
        <v>28</v>
      </c>
      <c r="H1" s="7" t="s">
        <v>3</v>
      </c>
      <c r="I1" s="2" t="s">
        <v>5</v>
      </c>
    </row>
    <row r="2" spans="1:9" x14ac:dyDescent="0.3">
      <c r="B2" s="8">
        <v>1</v>
      </c>
      <c r="C2" s="1" t="s">
        <v>8</v>
      </c>
      <c r="D2" s="1"/>
      <c r="E2" s="5"/>
      <c r="F2" s="5"/>
      <c r="G2" s="5" t="str">
        <f>VLOOKUP(I2,Index!$N:$O,2,0)</f>
        <v>GSDRS/SDCO/GSC\SPM03-Associate Engineer</v>
      </c>
      <c r="H2" s="1" t="str">
        <f>IF(LEN(D2)=0,"",LEN(D2))</f>
        <v/>
      </c>
      <c r="I2" s="1" t="str">
        <f>VLOOKUP(C2,Index!$A:$C,3,0)</f>
        <v>2T</v>
      </c>
    </row>
    <row r="3" spans="1:9" x14ac:dyDescent="0.3">
      <c r="B3" s="8">
        <v>2</v>
      </c>
      <c r="C3" s="1" t="s">
        <v>8</v>
      </c>
      <c r="D3" s="1"/>
      <c r="E3" s="5"/>
      <c r="F3" s="5"/>
      <c r="G3" s="5" t="str">
        <f>VLOOKUP(I3,Index!$N:$O,2,0)</f>
        <v>GSDRS/SDCO/GSC\SPM03-Associate Engineer</v>
      </c>
      <c r="H3" s="1" t="str">
        <f t="shared" ref="H3:H12" si="0">IF(LEN(D3)=0,"",LEN(D3))</f>
        <v/>
      </c>
      <c r="I3" s="1" t="str">
        <f>VLOOKUP(C3,Index!$A:$C,3,0)</f>
        <v>2T</v>
      </c>
    </row>
    <row r="4" spans="1:9" x14ac:dyDescent="0.3">
      <c r="B4" s="8">
        <v>3</v>
      </c>
      <c r="C4" s="1" t="s">
        <v>8</v>
      </c>
      <c r="D4" s="1"/>
      <c r="E4" s="5"/>
      <c r="F4" s="5"/>
      <c r="G4" s="5" t="str">
        <f>VLOOKUP(I4,Index!$N:$O,2,0)</f>
        <v>GSDRS/SDCO/GSC\SPM03-Associate Engineer</v>
      </c>
      <c r="H4" s="1" t="str">
        <f t="shared" si="0"/>
        <v/>
      </c>
      <c r="I4" s="1" t="str">
        <f>VLOOKUP(C4,Index!$A:$C,3,0)</f>
        <v>2T</v>
      </c>
    </row>
    <row r="5" spans="1:9" x14ac:dyDescent="0.3">
      <c r="B5" s="9">
        <v>4</v>
      </c>
      <c r="C5" s="1" t="s">
        <v>8</v>
      </c>
      <c r="D5" s="1"/>
      <c r="E5" s="5"/>
      <c r="F5" s="5"/>
      <c r="G5" s="5" t="str">
        <f>VLOOKUP(I5,Index!$N:$O,2,0)</f>
        <v>GSDRS/SDCO/GSC\SPM03-Associate Engineer</v>
      </c>
      <c r="H5" s="1" t="str">
        <f t="shared" si="0"/>
        <v/>
      </c>
      <c r="I5" s="1" t="str">
        <f>VLOOKUP(C5,Index!$A:$C,3,0)</f>
        <v>2T</v>
      </c>
    </row>
    <row r="6" spans="1:9" x14ac:dyDescent="0.3">
      <c r="B6" s="9">
        <v>5</v>
      </c>
      <c r="C6" s="1" t="s">
        <v>8</v>
      </c>
      <c r="D6" s="1"/>
      <c r="E6" s="5"/>
      <c r="F6" s="5"/>
      <c r="G6" s="5" t="str">
        <f>VLOOKUP(I6,Index!$N:$O,2,0)</f>
        <v>GSDRS/SDCO/GSC\SPM03-Associate Engineer</v>
      </c>
      <c r="H6" s="1" t="str">
        <f t="shared" si="0"/>
        <v/>
      </c>
      <c r="I6" s="1" t="str">
        <f>VLOOKUP(C6,Index!$A:$C,3,0)</f>
        <v>2T</v>
      </c>
    </row>
    <row r="7" spans="1:9" x14ac:dyDescent="0.3">
      <c r="B7" s="9">
        <v>6</v>
      </c>
      <c r="C7" s="1" t="s">
        <v>8</v>
      </c>
      <c r="D7" s="1"/>
      <c r="E7" s="5"/>
      <c r="F7" s="5"/>
      <c r="G7" s="5" t="str">
        <f>VLOOKUP(I7,Index!$N:$O,2,0)</f>
        <v>GSDRS/SDCO/GSC\SPM03-Associate Engineer</v>
      </c>
      <c r="H7" s="1" t="str">
        <f t="shared" si="0"/>
        <v/>
      </c>
      <c r="I7" s="1" t="str">
        <f>VLOOKUP(C7,Index!$A:$C,3,0)</f>
        <v>2T</v>
      </c>
    </row>
    <row r="8" spans="1:9" x14ac:dyDescent="0.3">
      <c r="B8" s="9">
        <v>7</v>
      </c>
      <c r="C8" s="1" t="s">
        <v>8</v>
      </c>
      <c r="D8" s="1"/>
      <c r="E8" s="5"/>
      <c r="F8" s="5"/>
      <c r="G8" s="5" t="str">
        <f>VLOOKUP(I8,Index!$N:$O,2,0)</f>
        <v>GSDRS/SDCO/GSC\SPM03-Associate Engineer</v>
      </c>
      <c r="H8" s="1" t="str">
        <f t="shared" si="0"/>
        <v/>
      </c>
      <c r="I8" s="1" t="str">
        <f>VLOOKUP(C8,Index!$A:$C,3,0)</f>
        <v>2T</v>
      </c>
    </row>
    <row r="9" spans="1:9" x14ac:dyDescent="0.3">
      <c r="B9" s="9">
        <v>8</v>
      </c>
      <c r="C9" s="1" t="s">
        <v>8</v>
      </c>
      <c r="D9" s="1"/>
      <c r="E9" s="5"/>
      <c r="F9" s="5"/>
      <c r="G9" s="5" t="str">
        <f>VLOOKUP(I9,Index!$N:$O,2,0)</f>
        <v>GSDRS/SDCO/GSC\SPM03-Associate Engineer</v>
      </c>
      <c r="H9" s="1" t="str">
        <f t="shared" si="0"/>
        <v/>
      </c>
      <c r="I9" s="1" t="str">
        <f>VLOOKUP(C9,Index!$A:$C,3,0)</f>
        <v>2T</v>
      </c>
    </row>
    <row r="10" spans="1:9" x14ac:dyDescent="0.3">
      <c r="B10" s="9">
        <v>9</v>
      </c>
      <c r="C10" s="1" t="s">
        <v>8</v>
      </c>
      <c r="D10" s="1"/>
      <c r="E10" s="5"/>
      <c r="F10" s="5"/>
      <c r="G10" s="5" t="str">
        <f>VLOOKUP(I10,Index!$N:$O,2,0)</f>
        <v>GSDRS/SDCO/GSC\SPM03-Associate Engineer</v>
      </c>
      <c r="H10" s="1" t="str">
        <f t="shared" si="0"/>
        <v/>
      </c>
      <c r="I10" s="1" t="str">
        <f>VLOOKUP(C10,Index!$A:$C,3,0)</f>
        <v>2T</v>
      </c>
    </row>
    <row r="11" spans="1:9" x14ac:dyDescent="0.3">
      <c r="B11" s="9">
        <v>10</v>
      </c>
      <c r="C11" s="1" t="s">
        <v>8</v>
      </c>
      <c r="D11" s="1"/>
      <c r="E11" s="5"/>
      <c r="F11" s="5"/>
      <c r="G11" s="5" t="str">
        <f>VLOOKUP(I11,Index!$N:$O,2,0)</f>
        <v>GSDRS/SDCO/GSC\SPM03-Associate Engineer</v>
      </c>
      <c r="H11" s="1" t="str">
        <f t="shared" si="0"/>
        <v/>
      </c>
      <c r="I11" s="1" t="str">
        <f>VLOOKUP(C11,Index!$A:$C,3,0)</f>
        <v>2T</v>
      </c>
    </row>
    <row r="12" spans="1:9" x14ac:dyDescent="0.3">
      <c r="B12" s="9">
        <v>11</v>
      </c>
      <c r="C12" s="1" t="s">
        <v>8</v>
      </c>
      <c r="D12" s="1"/>
      <c r="E12" s="5"/>
      <c r="F12" s="5"/>
      <c r="G12" s="5" t="str">
        <f>VLOOKUP(I12,Index!$N:$O,2,0)</f>
        <v>GSDRS/SDCO/GSC\SPM03-Associate Engineer</v>
      </c>
      <c r="H12" s="1" t="str">
        <f t="shared" si="0"/>
        <v/>
      </c>
      <c r="I12" s="1" t="str">
        <f>VLOOKUP(C12,Index!$A:$C,3,0)</f>
        <v>2T</v>
      </c>
    </row>
  </sheetData>
  <dataValidations count="3">
    <dataValidation type="textLength" operator="lessThanOrEqual" allowBlank="1" showInputMessage="1" showErrorMessage="1" errorTitle="Task Name Length Invalid" error="Task Name length should be &lt;= 36" promptTitle="Task Name length should be &lt;= 36" sqref="D1:D12" xr:uid="{1F7F4D2C-1AEB-48F9-987D-4ED94505CCCF}">
      <formula1>36</formula1>
    </dataValidation>
    <dataValidation showInputMessage="1" showErrorMessage="1" errorTitle="Invalid Date Format" error="Date Format should be DD-MM-YYYY" promptTitle="Date Format should be DD-MM-YYYY" sqref="E1:F1" xr:uid="{A4511F90-C3EC-49E1-A046-DE3C788EE175}"/>
    <dataValidation type="date" showInputMessage="1" showErrorMessage="1" errorTitle="Invalid Date Format" error="Date Format should be DD-MM-YYYY" promptTitle="Date Format should be DD-MM-YYYY" sqref="E2:F12" xr:uid="{C9D66D08-E10C-460B-893F-E97AF24FBA32}">
      <formula1>44562</formula1>
      <formula2>2958101</formula2>
    </dataValidation>
  </dataValidations>
  <hyperlinks>
    <hyperlink ref="A1" location="'Index'!A1" tooltip="Return to Index" display="Index" xr:uid="{9C071884-48E4-414E-A498-48168FFA2AD3}"/>
  </hyperlink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899579-6648-4FC5-96F6-7AD5FB3ED02E}">
  <dimension ref="A1:I12"/>
  <sheetViews>
    <sheetView workbookViewId="0">
      <selection activeCell="C2" sqref="C2"/>
    </sheetView>
  </sheetViews>
  <sheetFormatPr defaultRowHeight="14.4" x14ac:dyDescent="0.3"/>
  <cols>
    <col min="2" max="2" width="3.44140625" bestFit="1" customWidth="1"/>
    <col min="3" max="3" width="15.109375" bestFit="1" customWidth="1"/>
    <col min="4" max="4" width="18.33203125" bestFit="1" customWidth="1"/>
    <col min="5" max="5" width="9.33203125" bestFit="1" customWidth="1"/>
    <col min="6" max="6" width="8.5546875" bestFit="1" customWidth="1"/>
    <col min="7" max="7" width="48" bestFit="1" customWidth="1"/>
    <col min="8" max="8" width="11.6640625" bestFit="1" customWidth="1"/>
  </cols>
  <sheetData>
    <row r="1" spans="1:9" ht="28.8" x14ac:dyDescent="0.3">
      <c r="A1" s="3" t="s">
        <v>41</v>
      </c>
      <c r="B1" s="34" t="s">
        <v>1</v>
      </c>
      <c r="C1" s="34" t="s">
        <v>0</v>
      </c>
      <c r="D1" s="34" t="s">
        <v>33</v>
      </c>
      <c r="E1" s="35" t="s">
        <v>36</v>
      </c>
      <c r="F1" s="35" t="s">
        <v>37</v>
      </c>
      <c r="G1" s="35" t="s">
        <v>28</v>
      </c>
      <c r="H1" s="7" t="s">
        <v>3</v>
      </c>
      <c r="I1" s="2" t="s">
        <v>5</v>
      </c>
    </row>
    <row r="2" spans="1:9" x14ac:dyDescent="0.3">
      <c r="B2" s="8">
        <v>1</v>
      </c>
      <c r="C2" s="1" t="s">
        <v>32</v>
      </c>
      <c r="D2" s="1"/>
      <c r="E2" s="5"/>
      <c r="F2" s="5"/>
      <c r="G2" s="5" t="str">
        <f>VLOOKUP(I2,Index!$N:$O,2,0)</f>
        <v>GSDRS/SDCO/GSC\SPM03-Asscociate Consultant-Testing</v>
      </c>
      <c r="H2" s="1" t="str">
        <f>IF(LEN(D2)=0,"",LEN(D2))</f>
        <v/>
      </c>
      <c r="I2" s="1" t="str">
        <f>VLOOKUP(C2,Index!$A:$C,3,0)</f>
        <v>3T</v>
      </c>
    </row>
    <row r="3" spans="1:9" x14ac:dyDescent="0.3">
      <c r="B3" s="8">
        <v>2</v>
      </c>
      <c r="C3" s="1" t="s">
        <v>32</v>
      </c>
      <c r="D3" s="1"/>
      <c r="E3" s="5"/>
      <c r="F3" s="5"/>
      <c r="G3" s="5" t="str">
        <f>VLOOKUP(I3,Index!$N:$O,2,0)</f>
        <v>GSDRS/SDCO/GSC\SPM03-Asscociate Consultant-Testing</v>
      </c>
      <c r="H3" s="1" t="str">
        <f t="shared" ref="H3:H12" si="0">IF(LEN(D3)=0,"",LEN(D3))</f>
        <v/>
      </c>
      <c r="I3" s="1" t="str">
        <f>VLOOKUP(C3,Index!$A:$C,3,0)</f>
        <v>3T</v>
      </c>
    </row>
    <row r="4" spans="1:9" x14ac:dyDescent="0.3">
      <c r="B4" s="8">
        <v>3</v>
      </c>
      <c r="C4" s="1" t="s">
        <v>32</v>
      </c>
      <c r="D4" s="1"/>
      <c r="E4" s="5"/>
      <c r="F4" s="5"/>
      <c r="G4" s="5" t="str">
        <f>VLOOKUP(I4,Index!$N:$O,2,0)</f>
        <v>GSDRS/SDCO/GSC\SPM03-Asscociate Consultant-Testing</v>
      </c>
      <c r="H4" s="1" t="str">
        <f t="shared" si="0"/>
        <v/>
      </c>
      <c r="I4" s="1" t="str">
        <f>VLOOKUP(C4,Index!$A:$C,3,0)</f>
        <v>3T</v>
      </c>
    </row>
    <row r="5" spans="1:9" x14ac:dyDescent="0.3">
      <c r="B5" s="9">
        <v>4</v>
      </c>
      <c r="C5" s="1" t="s">
        <v>32</v>
      </c>
      <c r="D5" s="1"/>
      <c r="E5" s="5"/>
      <c r="F5" s="5"/>
      <c r="G5" s="5" t="str">
        <f>VLOOKUP(I5,Index!$N:$O,2,0)</f>
        <v>GSDRS/SDCO/GSC\SPM03-Asscociate Consultant-Testing</v>
      </c>
      <c r="H5" s="1" t="str">
        <f t="shared" si="0"/>
        <v/>
      </c>
      <c r="I5" s="1" t="str">
        <f>VLOOKUP(C5,Index!$A:$C,3,0)</f>
        <v>3T</v>
      </c>
    </row>
    <row r="6" spans="1:9" x14ac:dyDescent="0.3">
      <c r="B6" s="9">
        <v>5</v>
      </c>
      <c r="C6" s="1" t="s">
        <v>32</v>
      </c>
      <c r="D6" s="1"/>
      <c r="E6" s="5"/>
      <c r="F6" s="5"/>
      <c r="G6" s="5" t="str">
        <f>VLOOKUP(I6,Index!$N:$O,2,0)</f>
        <v>GSDRS/SDCO/GSC\SPM03-Asscociate Consultant-Testing</v>
      </c>
      <c r="H6" s="1" t="str">
        <f t="shared" si="0"/>
        <v/>
      </c>
      <c r="I6" s="1" t="str">
        <f>VLOOKUP(C6,Index!$A:$C,3,0)</f>
        <v>3T</v>
      </c>
    </row>
    <row r="7" spans="1:9" x14ac:dyDescent="0.3">
      <c r="B7" s="9">
        <v>6</v>
      </c>
      <c r="C7" s="1" t="s">
        <v>32</v>
      </c>
      <c r="D7" s="1"/>
      <c r="E7" s="5"/>
      <c r="F7" s="5"/>
      <c r="G7" s="5" t="str">
        <f>VLOOKUP(I7,Index!$N:$O,2,0)</f>
        <v>GSDRS/SDCO/GSC\SPM03-Asscociate Consultant-Testing</v>
      </c>
      <c r="H7" s="1" t="str">
        <f t="shared" si="0"/>
        <v/>
      </c>
      <c r="I7" s="1" t="str">
        <f>VLOOKUP(C7,Index!$A:$C,3,0)</f>
        <v>3T</v>
      </c>
    </row>
    <row r="8" spans="1:9" x14ac:dyDescent="0.3">
      <c r="B8" s="9">
        <v>7</v>
      </c>
      <c r="C8" s="1" t="s">
        <v>32</v>
      </c>
      <c r="D8" s="1"/>
      <c r="E8" s="5"/>
      <c r="F8" s="5"/>
      <c r="G8" s="5" t="str">
        <f>VLOOKUP(I8,Index!$N:$O,2,0)</f>
        <v>GSDRS/SDCO/GSC\SPM03-Asscociate Consultant-Testing</v>
      </c>
      <c r="H8" s="1" t="str">
        <f t="shared" si="0"/>
        <v/>
      </c>
      <c r="I8" s="1" t="str">
        <f>VLOOKUP(C8,Index!$A:$C,3,0)</f>
        <v>3T</v>
      </c>
    </row>
    <row r="9" spans="1:9" x14ac:dyDescent="0.3">
      <c r="B9" s="9">
        <v>8</v>
      </c>
      <c r="C9" s="1" t="s">
        <v>32</v>
      </c>
      <c r="D9" s="1"/>
      <c r="E9" s="5"/>
      <c r="F9" s="5"/>
      <c r="G9" s="5" t="str">
        <f>VLOOKUP(I9,Index!$N:$O,2,0)</f>
        <v>GSDRS/SDCO/GSC\SPM03-Asscociate Consultant-Testing</v>
      </c>
      <c r="H9" s="1" t="str">
        <f t="shared" si="0"/>
        <v/>
      </c>
      <c r="I9" s="1" t="str">
        <f>VLOOKUP(C9,Index!$A:$C,3,0)</f>
        <v>3T</v>
      </c>
    </row>
    <row r="10" spans="1:9" x14ac:dyDescent="0.3">
      <c r="B10" s="9">
        <v>9</v>
      </c>
      <c r="C10" s="1" t="s">
        <v>32</v>
      </c>
      <c r="D10" s="1"/>
      <c r="E10" s="5"/>
      <c r="F10" s="5"/>
      <c r="G10" s="5" t="str">
        <f>VLOOKUP(I10,Index!$N:$O,2,0)</f>
        <v>GSDRS/SDCO/GSC\SPM03-Asscociate Consultant-Testing</v>
      </c>
      <c r="H10" s="1" t="str">
        <f t="shared" si="0"/>
        <v/>
      </c>
      <c r="I10" s="1" t="str">
        <f>VLOOKUP(C10,Index!$A:$C,3,0)</f>
        <v>3T</v>
      </c>
    </row>
    <row r="11" spans="1:9" x14ac:dyDescent="0.3">
      <c r="B11" s="9">
        <v>10</v>
      </c>
      <c r="C11" s="1" t="s">
        <v>32</v>
      </c>
      <c r="D11" s="1"/>
      <c r="E11" s="5"/>
      <c r="F11" s="5"/>
      <c r="G11" s="5" t="str">
        <f>VLOOKUP(I11,Index!$N:$O,2,0)</f>
        <v>GSDRS/SDCO/GSC\SPM03-Asscociate Consultant-Testing</v>
      </c>
      <c r="H11" s="1" t="str">
        <f t="shared" si="0"/>
        <v/>
      </c>
      <c r="I11" s="1" t="str">
        <f>VLOOKUP(C11,Index!$A:$C,3,0)</f>
        <v>3T</v>
      </c>
    </row>
    <row r="12" spans="1:9" x14ac:dyDescent="0.3">
      <c r="B12" s="9">
        <v>11</v>
      </c>
      <c r="C12" s="1" t="s">
        <v>32</v>
      </c>
      <c r="D12" s="1"/>
      <c r="E12" s="5"/>
      <c r="F12" s="5"/>
      <c r="G12" s="5" t="str">
        <f>VLOOKUP(I12,Index!$N:$O,2,0)</f>
        <v>GSDRS/SDCO/GSC\SPM03-Asscociate Consultant-Testing</v>
      </c>
      <c r="H12" s="1" t="str">
        <f t="shared" si="0"/>
        <v/>
      </c>
      <c r="I12" s="1" t="str">
        <f>VLOOKUP(C12,Index!$A:$C,3,0)</f>
        <v>3T</v>
      </c>
    </row>
  </sheetData>
  <dataValidations count="3">
    <dataValidation type="textLength" operator="lessThanOrEqual" allowBlank="1" showInputMessage="1" showErrorMessage="1" errorTitle="Task Name Length Invalid" error="Task Name length should be &lt;= 36" promptTitle="Task Name length should be &lt;= 36" sqref="D1:D12" xr:uid="{0192B3E4-B0B2-4B51-90DE-94993DC62F7D}">
      <formula1>36</formula1>
    </dataValidation>
    <dataValidation showInputMessage="1" showErrorMessage="1" errorTitle="Invalid Date Format" error="Date Format should be DD-MM-YYYY" promptTitle="Date Format should be DD-MM-YYYY" sqref="E1:F1" xr:uid="{C004875B-E086-436B-9AF2-E68EAD5AAB6F}"/>
    <dataValidation type="date" showInputMessage="1" showErrorMessage="1" errorTitle="Invalid Date Format" error="Date Format should be DD-MM-YYYY" promptTitle="Date Format should be DD-MM-YYYY" sqref="E2:F12" xr:uid="{64940CEC-4AAB-4B15-8EA6-CE01EE27FE7C}">
      <formula1>44562</formula1>
      <formula2>2958101</formula2>
    </dataValidation>
  </dataValidations>
  <hyperlinks>
    <hyperlink ref="A1" location="'Index'!A1" tooltip="Return to Index" display="Index" xr:uid="{F68795F2-CF13-47F7-AAFE-7181C4DD2980}"/>
  </hyperlink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6534A-A85A-4651-93C7-12558F4BC4E5}">
  <dimension ref="A1:I12"/>
  <sheetViews>
    <sheetView workbookViewId="0">
      <selection activeCell="C2" sqref="C2"/>
    </sheetView>
  </sheetViews>
  <sheetFormatPr defaultRowHeight="14.4" x14ac:dyDescent="0.3"/>
  <cols>
    <col min="2" max="2" width="3.44140625" bestFit="1" customWidth="1"/>
    <col min="3" max="3" width="10.21875" bestFit="1" customWidth="1"/>
    <col min="4" max="4" width="18.33203125" bestFit="1" customWidth="1"/>
    <col min="5" max="5" width="9.33203125" bestFit="1" customWidth="1"/>
    <col min="6" max="6" width="8.5546875" bestFit="1" customWidth="1"/>
    <col min="7" max="7" width="39.5546875" bestFit="1" customWidth="1"/>
    <col min="8" max="8" width="11.6640625" bestFit="1" customWidth="1"/>
  </cols>
  <sheetData>
    <row r="1" spans="1:9" ht="28.8" x14ac:dyDescent="0.3">
      <c r="A1" s="3" t="s">
        <v>41</v>
      </c>
      <c r="B1" s="34" t="s">
        <v>1</v>
      </c>
      <c r="C1" s="34" t="s">
        <v>0</v>
      </c>
      <c r="D1" s="34" t="s">
        <v>33</v>
      </c>
      <c r="E1" s="35" t="s">
        <v>36</v>
      </c>
      <c r="F1" s="35" t="s">
        <v>37</v>
      </c>
      <c r="G1" s="35" t="s">
        <v>28</v>
      </c>
      <c r="H1" s="7" t="s">
        <v>3</v>
      </c>
      <c r="I1" s="2" t="s">
        <v>5</v>
      </c>
    </row>
    <row r="2" spans="1:9" x14ac:dyDescent="0.3">
      <c r="B2" s="8">
        <v>1</v>
      </c>
      <c r="C2" s="1" t="s">
        <v>34</v>
      </c>
      <c r="D2" s="1"/>
      <c r="E2" s="5"/>
      <c r="F2" s="5"/>
      <c r="G2" s="5" t="str">
        <f>VLOOKUP(I2,Index!$N:$O,2,0)</f>
        <v>GSDRS/SDCO/GSC\SPM03-Consultant - Testing</v>
      </c>
      <c r="H2" s="1" t="str">
        <f>IF(LEN(D2)=0,"",LEN(D2))</f>
        <v/>
      </c>
      <c r="I2" s="1" t="str">
        <f>VLOOKUP(C2,Index!$A:$C,3,0)</f>
        <v>4T</v>
      </c>
    </row>
    <row r="3" spans="1:9" x14ac:dyDescent="0.3">
      <c r="B3" s="8">
        <v>2</v>
      </c>
      <c r="C3" s="1" t="s">
        <v>34</v>
      </c>
      <c r="D3" s="1"/>
      <c r="E3" s="5"/>
      <c r="F3" s="5"/>
      <c r="G3" s="5" t="str">
        <f>VLOOKUP(I3,Index!$N:$O,2,0)</f>
        <v>GSDRS/SDCO/GSC\SPM03-Consultant - Testing</v>
      </c>
      <c r="H3" s="1" t="str">
        <f t="shared" ref="H3:H12" si="0">IF(LEN(D3)=0,"",LEN(D3))</f>
        <v/>
      </c>
      <c r="I3" s="1" t="str">
        <f>VLOOKUP(C3,Index!$A:$C,3,0)</f>
        <v>4T</v>
      </c>
    </row>
    <row r="4" spans="1:9" x14ac:dyDescent="0.3">
      <c r="B4" s="8">
        <v>3</v>
      </c>
      <c r="C4" s="1" t="s">
        <v>34</v>
      </c>
      <c r="D4" s="1"/>
      <c r="E4" s="5"/>
      <c r="F4" s="5"/>
      <c r="G4" s="5" t="str">
        <f>VLOOKUP(I4,Index!$N:$O,2,0)</f>
        <v>GSDRS/SDCO/GSC\SPM03-Consultant - Testing</v>
      </c>
      <c r="H4" s="1" t="str">
        <f t="shared" si="0"/>
        <v/>
      </c>
      <c r="I4" s="1" t="str">
        <f>VLOOKUP(C4,Index!$A:$C,3,0)</f>
        <v>4T</v>
      </c>
    </row>
    <row r="5" spans="1:9" x14ac:dyDescent="0.3">
      <c r="B5" s="9">
        <v>4</v>
      </c>
      <c r="C5" s="1" t="s">
        <v>34</v>
      </c>
      <c r="D5" s="1"/>
      <c r="E5" s="5"/>
      <c r="F5" s="5"/>
      <c r="G5" s="5" t="str">
        <f>VLOOKUP(I5,Index!$N:$O,2,0)</f>
        <v>GSDRS/SDCO/GSC\SPM03-Consultant - Testing</v>
      </c>
      <c r="H5" s="1" t="str">
        <f t="shared" si="0"/>
        <v/>
      </c>
      <c r="I5" s="1" t="str">
        <f>VLOOKUP(C5,Index!$A:$C,3,0)</f>
        <v>4T</v>
      </c>
    </row>
    <row r="6" spans="1:9" x14ac:dyDescent="0.3">
      <c r="B6" s="9">
        <v>5</v>
      </c>
      <c r="C6" s="1" t="s">
        <v>34</v>
      </c>
      <c r="D6" s="1"/>
      <c r="E6" s="5"/>
      <c r="F6" s="5"/>
      <c r="G6" s="5" t="str">
        <f>VLOOKUP(I6,Index!$N:$O,2,0)</f>
        <v>GSDRS/SDCO/GSC\SPM03-Consultant - Testing</v>
      </c>
      <c r="H6" s="1" t="str">
        <f t="shared" si="0"/>
        <v/>
      </c>
      <c r="I6" s="1" t="str">
        <f>VLOOKUP(C6,Index!$A:$C,3,0)</f>
        <v>4T</v>
      </c>
    </row>
    <row r="7" spans="1:9" x14ac:dyDescent="0.3">
      <c r="B7" s="9">
        <v>6</v>
      </c>
      <c r="C7" s="1" t="s">
        <v>34</v>
      </c>
      <c r="D7" s="1"/>
      <c r="E7" s="5"/>
      <c r="F7" s="5"/>
      <c r="G7" s="5" t="str">
        <f>VLOOKUP(I7,Index!$N:$O,2,0)</f>
        <v>GSDRS/SDCO/GSC\SPM03-Consultant - Testing</v>
      </c>
      <c r="H7" s="1" t="str">
        <f t="shared" si="0"/>
        <v/>
      </c>
      <c r="I7" s="1" t="str">
        <f>VLOOKUP(C7,Index!$A:$C,3,0)</f>
        <v>4T</v>
      </c>
    </row>
    <row r="8" spans="1:9" x14ac:dyDescent="0.3">
      <c r="B8" s="9">
        <v>7</v>
      </c>
      <c r="C8" s="1" t="s">
        <v>34</v>
      </c>
      <c r="D8" s="1"/>
      <c r="E8" s="5"/>
      <c r="F8" s="5"/>
      <c r="G8" s="5" t="str">
        <f>VLOOKUP(I8,Index!$N:$O,2,0)</f>
        <v>GSDRS/SDCO/GSC\SPM03-Consultant - Testing</v>
      </c>
      <c r="H8" s="1" t="str">
        <f t="shared" si="0"/>
        <v/>
      </c>
      <c r="I8" s="1" t="str">
        <f>VLOOKUP(C8,Index!$A:$C,3,0)</f>
        <v>4T</v>
      </c>
    </row>
    <row r="9" spans="1:9" x14ac:dyDescent="0.3">
      <c r="B9" s="9">
        <v>8</v>
      </c>
      <c r="C9" s="1" t="s">
        <v>34</v>
      </c>
      <c r="D9" s="1"/>
      <c r="E9" s="5"/>
      <c r="F9" s="5"/>
      <c r="G9" s="5" t="str">
        <f>VLOOKUP(I9,Index!$N:$O,2,0)</f>
        <v>GSDRS/SDCO/GSC\SPM03-Consultant - Testing</v>
      </c>
      <c r="H9" s="1" t="str">
        <f t="shared" si="0"/>
        <v/>
      </c>
      <c r="I9" s="1" t="str">
        <f>VLOOKUP(C9,Index!$A:$C,3,0)</f>
        <v>4T</v>
      </c>
    </row>
    <row r="10" spans="1:9" x14ac:dyDescent="0.3">
      <c r="B10" s="9">
        <v>9</v>
      </c>
      <c r="C10" s="1" t="s">
        <v>34</v>
      </c>
      <c r="D10" s="1"/>
      <c r="E10" s="5"/>
      <c r="F10" s="5"/>
      <c r="G10" s="5" t="str">
        <f>VLOOKUP(I10,Index!$N:$O,2,0)</f>
        <v>GSDRS/SDCO/GSC\SPM03-Consultant - Testing</v>
      </c>
      <c r="H10" s="1" t="str">
        <f t="shared" si="0"/>
        <v/>
      </c>
      <c r="I10" s="1" t="str">
        <f>VLOOKUP(C10,Index!$A:$C,3,0)</f>
        <v>4T</v>
      </c>
    </row>
    <row r="11" spans="1:9" x14ac:dyDescent="0.3">
      <c r="B11" s="9">
        <v>10</v>
      </c>
      <c r="C11" s="1" t="s">
        <v>34</v>
      </c>
      <c r="D11" s="1"/>
      <c r="E11" s="5"/>
      <c r="F11" s="5"/>
      <c r="G11" s="5" t="str">
        <f>VLOOKUP(I11,Index!$N:$O,2,0)</f>
        <v>GSDRS/SDCO/GSC\SPM03-Consultant - Testing</v>
      </c>
      <c r="H11" s="1" t="str">
        <f t="shared" si="0"/>
        <v/>
      </c>
      <c r="I11" s="1" t="str">
        <f>VLOOKUP(C11,Index!$A:$C,3,0)</f>
        <v>4T</v>
      </c>
    </row>
    <row r="12" spans="1:9" x14ac:dyDescent="0.3">
      <c r="B12" s="9">
        <v>11</v>
      </c>
      <c r="C12" s="1" t="s">
        <v>34</v>
      </c>
      <c r="D12" s="1"/>
      <c r="E12" s="5"/>
      <c r="F12" s="5"/>
      <c r="G12" s="5" t="str">
        <f>VLOOKUP(I12,Index!$N:$O,2,0)</f>
        <v>GSDRS/SDCO/GSC\SPM03-Consultant - Testing</v>
      </c>
      <c r="H12" s="1" t="str">
        <f t="shared" si="0"/>
        <v/>
      </c>
      <c r="I12" s="1" t="str">
        <f>VLOOKUP(C12,Index!$A:$C,3,0)</f>
        <v>4T</v>
      </c>
    </row>
  </sheetData>
  <dataValidations count="3">
    <dataValidation type="textLength" operator="lessThanOrEqual" allowBlank="1" showInputMessage="1" showErrorMessage="1" errorTitle="Task Name Length Invalid" error="Task Name length should be &lt;= 36" promptTitle="Task Name length should be &lt;= 36" sqref="D1:D12" xr:uid="{8AA9729A-F0BF-444D-B849-B8A5A491A414}">
      <formula1>36</formula1>
    </dataValidation>
    <dataValidation showInputMessage="1" showErrorMessage="1" errorTitle="Invalid Date Format" error="Date Format should be DD-MM-YYYY" promptTitle="Date Format should be DD-MM-YYYY" sqref="E1:F1" xr:uid="{0D6D61B4-7571-4D74-8C7C-F7D59A546C0F}"/>
    <dataValidation type="date" showInputMessage="1" showErrorMessage="1" errorTitle="Invalid Date Format" error="Date Format should be DD-MM-YYYY" promptTitle="Date Format should be DD-MM-YYYY" sqref="E2:F12" xr:uid="{612E618E-7414-469E-848D-8264BBCE4C1C}">
      <formula1>44562</formula1>
      <formula2>2958101</formula2>
    </dataValidation>
  </dataValidations>
  <hyperlinks>
    <hyperlink ref="A1" location="'Index'!A1" tooltip="Return to Index" display="Index" xr:uid="{0A663745-E160-45D9-B714-EC7903FC3573}"/>
  </hyperlink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BE04D6-0D73-4BB5-B141-45B1DA4FC944}">
  <dimension ref="A1:I12"/>
  <sheetViews>
    <sheetView workbookViewId="0">
      <selection activeCell="C2" sqref="C2"/>
    </sheetView>
  </sheetViews>
  <sheetFormatPr defaultRowHeight="14.4" x14ac:dyDescent="0.3"/>
  <cols>
    <col min="2" max="2" width="3.44140625" bestFit="1" customWidth="1"/>
    <col min="3" max="3" width="9.5546875" bestFit="1" customWidth="1"/>
    <col min="4" max="4" width="18.33203125" bestFit="1" customWidth="1"/>
    <col min="5" max="5" width="9.33203125" bestFit="1" customWidth="1"/>
    <col min="6" max="6" width="8.5546875" bestFit="1" customWidth="1"/>
    <col min="7" max="7" width="48" bestFit="1" customWidth="1"/>
    <col min="8" max="8" width="11.6640625" bestFit="1" customWidth="1"/>
  </cols>
  <sheetData>
    <row r="1" spans="1:9" ht="28.8" x14ac:dyDescent="0.3">
      <c r="A1" s="3" t="s">
        <v>41</v>
      </c>
      <c r="B1" s="34" t="s">
        <v>1</v>
      </c>
      <c r="C1" s="34" t="s">
        <v>0</v>
      </c>
      <c r="D1" s="34" t="s">
        <v>33</v>
      </c>
      <c r="E1" s="35" t="s">
        <v>36</v>
      </c>
      <c r="F1" s="35" t="s">
        <v>37</v>
      </c>
      <c r="G1" s="35" t="s">
        <v>28</v>
      </c>
      <c r="H1" s="7" t="s">
        <v>3</v>
      </c>
      <c r="I1" s="2" t="s">
        <v>5</v>
      </c>
    </row>
    <row r="2" spans="1:9" x14ac:dyDescent="0.3">
      <c r="B2" s="8">
        <v>1</v>
      </c>
      <c r="C2" s="1" t="s">
        <v>35</v>
      </c>
      <c r="D2" s="1"/>
      <c r="E2" s="5"/>
      <c r="F2" s="5"/>
      <c r="G2" s="5" t="str">
        <f>VLOOKUP(I2,Index!$N:$O,2,0)</f>
        <v>GSDRS/SDCO/GSC\SPM03-Asscociate Consultant-Testing</v>
      </c>
      <c r="H2" s="1" t="str">
        <f>IF(LEN(D2)=0,"",LEN(D2))</f>
        <v/>
      </c>
      <c r="I2" s="1" t="str">
        <f>VLOOKUP(C2,Index!$A:$C,3,0)</f>
        <v>3T</v>
      </c>
    </row>
    <row r="3" spans="1:9" x14ac:dyDescent="0.3">
      <c r="B3" s="8">
        <v>2</v>
      </c>
      <c r="C3" s="1" t="s">
        <v>35</v>
      </c>
      <c r="D3" s="1"/>
      <c r="E3" s="5"/>
      <c r="F3" s="5"/>
      <c r="G3" s="5" t="str">
        <f>VLOOKUP(I3,Index!$N:$O,2,0)</f>
        <v>GSDRS/SDCO/GSC\SPM03-Asscociate Consultant-Testing</v>
      </c>
      <c r="H3" s="1" t="str">
        <f t="shared" ref="H3:H12" si="0">IF(LEN(D3)=0,"",LEN(D3))</f>
        <v/>
      </c>
      <c r="I3" s="1" t="str">
        <f>VLOOKUP(C3,Index!$A:$C,3,0)</f>
        <v>3T</v>
      </c>
    </row>
    <row r="4" spans="1:9" x14ac:dyDescent="0.3">
      <c r="B4" s="8">
        <v>3</v>
      </c>
      <c r="C4" s="1" t="s">
        <v>35</v>
      </c>
      <c r="D4" s="1"/>
      <c r="E4" s="5"/>
      <c r="F4" s="5"/>
      <c r="G4" s="5" t="str">
        <f>VLOOKUP(I4,Index!$N:$O,2,0)</f>
        <v>GSDRS/SDCO/GSC\SPM03-Asscociate Consultant-Testing</v>
      </c>
      <c r="H4" s="1" t="str">
        <f t="shared" si="0"/>
        <v/>
      </c>
      <c r="I4" s="1" t="str">
        <f>VLOOKUP(C4,Index!$A:$C,3,0)</f>
        <v>3T</v>
      </c>
    </row>
    <row r="5" spans="1:9" x14ac:dyDescent="0.3">
      <c r="B5" s="9">
        <v>4</v>
      </c>
      <c r="C5" s="1" t="s">
        <v>35</v>
      </c>
      <c r="D5" s="1"/>
      <c r="E5" s="5"/>
      <c r="F5" s="5"/>
      <c r="G5" s="5" t="str">
        <f>VLOOKUP(I5,Index!$N:$O,2,0)</f>
        <v>GSDRS/SDCO/GSC\SPM03-Asscociate Consultant-Testing</v>
      </c>
      <c r="H5" s="1" t="str">
        <f t="shared" si="0"/>
        <v/>
      </c>
      <c r="I5" s="1" t="str">
        <f>VLOOKUP(C5,Index!$A:$C,3,0)</f>
        <v>3T</v>
      </c>
    </row>
    <row r="6" spans="1:9" x14ac:dyDescent="0.3">
      <c r="B6" s="9">
        <v>5</v>
      </c>
      <c r="C6" s="1" t="s">
        <v>35</v>
      </c>
      <c r="D6" s="1"/>
      <c r="E6" s="5"/>
      <c r="F6" s="5"/>
      <c r="G6" s="5" t="str">
        <f>VLOOKUP(I6,Index!$N:$O,2,0)</f>
        <v>GSDRS/SDCO/GSC\SPM03-Asscociate Consultant-Testing</v>
      </c>
      <c r="H6" s="1" t="str">
        <f t="shared" si="0"/>
        <v/>
      </c>
      <c r="I6" s="1" t="str">
        <f>VLOOKUP(C6,Index!$A:$C,3,0)</f>
        <v>3T</v>
      </c>
    </row>
    <row r="7" spans="1:9" x14ac:dyDescent="0.3">
      <c r="B7" s="9">
        <v>6</v>
      </c>
      <c r="C7" s="1" t="s">
        <v>35</v>
      </c>
      <c r="D7" s="1"/>
      <c r="E7" s="5"/>
      <c r="F7" s="5"/>
      <c r="G7" s="5" t="str">
        <f>VLOOKUP(I7,Index!$N:$O,2,0)</f>
        <v>GSDRS/SDCO/GSC\SPM03-Asscociate Consultant-Testing</v>
      </c>
      <c r="H7" s="1" t="str">
        <f t="shared" si="0"/>
        <v/>
      </c>
      <c r="I7" s="1" t="str">
        <f>VLOOKUP(C7,Index!$A:$C,3,0)</f>
        <v>3T</v>
      </c>
    </row>
    <row r="8" spans="1:9" x14ac:dyDescent="0.3">
      <c r="B8" s="9">
        <v>7</v>
      </c>
      <c r="C8" s="1" t="s">
        <v>35</v>
      </c>
      <c r="D8" s="1"/>
      <c r="E8" s="5"/>
      <c r="F8" s="5"/>
      <c r="G8" s="5" t="str">
        <f>VLOOKUP(I8,Index!$N:$O,2,0)</f>
        <v>GSDRS/SDCO/GSC\SPM03-Asscociate Consultant-Testing</v>
      </c>
      <c r="H8" s="1" t="str">
        <f t="shared" si="0"/>
        <v/>
      </c>
      <c r="I8" s="1" t="str">
        <f>VLOOKUP(C8,Index!$A:$C,3,0)</f>
        <v>3T</v>
      </c>
    </row>
    <row r="9" spans="1:9" x14ac:dyDescent="0.3">
      <c r="B9" s="9">
        <v>8</v>
      </c>
      <c r="C9" s="1" t="s">
        <v>35</v>
      </c>
      <c r="D9" s="1"/>
      <c r="E9" s="5"/>
      <c r="F9" s="5"/>
      <c r="G9" s="5" t="str">
        <f>VLOOKUP(I9,Index!$N:$O,2,0)</f>
        <v>GSDRS/SDCO/GSC\SPM03-Asscociate Consultant-Testing</v>
      </c>
      <c r="H9" s="1" t="str">
        <f t="shared" si="0"/>
        <v/>
      </c>
      <c r="I9" s="1" t="str">
        <f>VLOOKUP(C9,Index!$A:$C,3,0)</f>
        <v>3T</v>
      </c>
    </row>
    <row r="10" spans="1:9" x14ac:dyDescent="0.3">
      <c r="B10" s="9">
        <v>9</v>
      </c>
      <c r="C10" s="1" t="s">
        <v>35</v>
      </c>
      <c r="D10" s="1"/>
      <c r="E10" s="5"/>
      <c r="F10" s="5"/>
      <c r="G10" s="5" t="str">
        <f>VLOOKUP(I10,Index!$N:$O,2,0)</f>
        <v>GSDRS/SDCO/GSC\SPM03-Asscociate Consultant-Testing</v>
      </c>
      <c r="H10" s="1" t="str">
        <f t="shared" si="0"/>
        <v/>
      </c>
      <c r="I10" s="1" t="str">
        <f>VLOOKUP(C10,Index!$A:$C,3,0)</f>
        <v>3T</v>
      </c>
    </row>
    <row r="11" spans="1:9" x14ac:dyDescent="0.3">
      <c r="B11" s="9">
        <v>10</v>
      </c>
      <c r="C11" s="1" t="s">
        <v>35</v>
      </c>
      <c r="D11" s="1"/>
      <c r="E11" s="5"/>
      <c r="F11" s="5"/>
      <c r="G11" s="5" t="str">
        <f>VLOOKUP(I11,Index!$N:$O,2,0)</f>
        <v>GSDRS/SDCO/GSC\SPM03-Asscociate Consultant-Testing</v>
      </c>
      <c r="H11" s="1" t="str">
        <f t="shared" si="0"/>
        <v/>
      </c>
      <c r="I11" s="1" t="str">
        <f>VLOOKUP(C11,Index!$A:$C,3,0)</f>
        <v>3T</v>
      </c>
    </row>
    <row r="12" spans="1:9" x14ac:dyDescent="0.3">
      <c r="B12" s="9">
        <v>11</v>
      </c>
      <c r="C12" s="1" t="s">
        <v>35</v>
      </c>
      <c r="D12" s="1"/>
      <c r="E12" s="5"/>
      <c r="F12" s="5"/>
      <c r="G12" s="5" t="str">
        <f>VLOOKUP(I12,Index!$N:$O,2,0)</f>
        <v>GSDRS/SDCO/GSC\SPM03-Asscociate Consultant-Testing</v>
      </c>
      <c r="H12" s="1" t="str">
        <f t="shared" si="0"/>
        <v/>
      </c>
      <c r="I12" s="1" t="str">
        <f>VLOOKUP(C12,Index!$A:$C,3,0)</f>
        <v>3T</v>
      </c>
    </row>
  </sheetData>
  <dataValidations count="3">
    <dataValidation type="textLength" operator="lessThanOrEqual" allowBlank="1" showInputMessage="1" showErrorMessage="1" errorTitle="Task Name Length Invalid" error="Task Name length should be &lt;= 36" promptTitle="Task Name length should be &lt;= 36" sqref="D1:D12" xr:uid="{B23E8897-46F5-4F05-B4C4-270B98246817}">
      <formula1>36</formula1>
    </dataValidation>
    <dataValidation showInputMessage="1" showErrorMessage="1" errorTitle="Invalid Date Format" error="Date Format should be DD-MM-YYYY" promptTitle="Date Format should be DD-MM-YYYY" sqref="E1:F1" xr:uid="{5EC7F648-4B43-4737-87D8-8CC1065F1A9D}"/>
    <dataValidation type="date" showInputMessage="1" showErrorMessage="1" errorTitle="Invalid Date Format" error="Date Format should be DD-MM-YYYY" promptTitle="Date Format should be DD-MM-YYYY" sqref="E2:F12" xr:uid="{D7638318-8898-4B45-9E3A-623F0669DAB1}">
      <formula1>44562</formula1>
      <formula2>2958101</formula2>
    </dataValidation>
  </dataValidations>
  <hyperlinks>
    <hyperlink ref="A1" location="'Index'!A1" tooltip="Return to Index" display="Index" xr:uid="{54CB99C6-1386-4281-94FE-69A752CED1EF}"/>
  </hyperlink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01370D-7C37-4412-8B8B-36F82BCA0580}">
  <dimension ref="A1:I12"/>
  <sheetViews>
    <sheetView workbookViewId="0">
      <selection activeCell="C2" sqref="C2"/>
    </sheetView>
  </sheetViews>
  <sheetFormatPr defaultRowHeight="14.4" x14ac:dyDescent="0.3"/>
  <cols>
    <col min="2" max="2" width="3.44140625" bestFit="1" customWidth="1"/>
    <col min="3" max="3" width="6" bestFit="1" customWidth="1"/>
    <col min="4" max="4" width="18.33203125" bestFit="1" customWidth="1"/>
    <col min="5" max="5" width="9.33203125" bestFit="1" customWidth="1"/>
    <col min="6" max="6" width="8.5546875" bestFit="1" customWidth="1"/>
    <col min="7" max="7" width="39.5546875" bestFit="1" customWidth="1"/>
    <col min="8" max="8" width="11.6640625" bestFit="1" customWidth="1"/>
  </cols>
  <sheetData>
    <row r="1" spans="1:9" ht="28.8" x14ac:dyDescent="0.3">
      <c r="A1" s="3" t="s">
        <v>41</v>
      </c>
      <c r="B1" s="34" t="s">
        <v>1</v>
      </c>
      <c r="C1" s="34" t="s">
        <v>0</v>
      </c>
      <c r="D1" s="34" t="s">
        <v>33</v>
      </c>
      <c r="E1" s="35" t="s">
        <v>36</v>
      </c>
      <c r="F1" s="35" t="s">
        <v>37</v>
      </c>
      <c r="G1" s="35" t="s">
        <v>28</v>
      </c>
      <c r="H1" s="7" t="s">
        <v>3</v>
      </c>
      <c r="I1" s="2" t="s">
        <v>5</v>
      </c>
    </row>
    <row r="2" spans="1:9" x14ac:dyDescent="0.3">
      <c r="B2" s="8">
        <v>1</v>
      </c>
      <c r="C2" s="1" t="s">
        <v>39</v>
      </c>
      <c r="D2" s="1"/>
      <c r="E2" s="5"/>
      <c r="F2" s="5"/>
      <c r="G2" s="5" t="str">
        <f>VLOOKUP(I2,Index!$N:$O,2,0)</f>
        <v>GSDRS/SDCO/GSC\SPM03-Consultant - Testing</v>
      </c>
      <c r="H2" s="1" t="str">
        <f>IF(LEN(D2)=0,"",LEN(D2))</f>
        <v/>
      </c>
      <c r="I2" s="1" t="str">
        <f>VLOOKUP(C2,Index!$A:$C,3,0)</f>
        <v>4T</v>
      </c>
    </row>
    <row r="3" spans="1:9" x14ac:dyDescent="0.3">
      <c r="B3" s="8">
        <v>2</v>
      </c>
      <c r="C3" s="1" t="s">
        <v>39</v>
      </c>
      <c r="D3" s="1"/>
      <c r="E3" s="5"/>
      <c r="F3" s="5"/>
      <c r="G3" s="5" t="str">
        <f>VLOOKUP(I3,Index!$N:$O,2,0)</f>
        <v>GSDRS/SDCO/GSC\SPM03-Consultant - Testing</v>
      </c>
      <c r="H3" s="1" t="str">
        <f t="shared" ref="H3:H12" si="0">IF(LEN(D3)=0,"",LEN(D3))</f>
        <v/>
      </c>
      <c r="I3" s="1" t="str">
        <f>VLOOKUP(C3,Index!$A:$C,3,0)</f>
        <v>4T</v>
      </c>
    </row>
    <row r="4" spans="1:9" x14ac:dyDescent="0.3">
      <c r="B4" s="8">
        <v>3</v>
      </c>
      <c r="C4" s="1" t="s">
        <v>39</v>
      </c>
      <c r="D4" s="1"/>
      <c r="E4" s="5"/>
      <c r="F4" s="5"/>
      <c r="G4" s="5" t="str">
        <f>VLOOKUP(I4,Index!$N:$O,2,0)</f>
        <v>GSDRS/SDCO/GSC\SPM03-Consultant - Testing</v>
      </c>
      <c r="H4" s="1" t="str">
        <f t="shared" si="0"/>
        <v/>
      </c>
      <c r="I4" s="1" t="str">
        <f>VLOOKUP(C4,Index!$A:$C,3,0)</f>
        <v>4T</v>
      </c>
    </row>
    <row r="5" spans="1:9" x14ac:dyDescent="0.3">
      <c r="B5" s="9">
        <v>4</v>
      </c>
      <c r="C5" s="1" t="s">
        <v>39</v>
      </c>
      <c r="D5" s="1"/>
      <c r="E5" s="5"/>
      <c r="F5" s="5"/>
      <c r="G5" s="5" t="str">
        <f>VLOOKUP(I5,Index!$N:$O,2,0)</f>
        <v>GSDRS/SDCO/GSC\SPM03-Consultant - Testing</v>
      </c>
      <c r="H5" s="1" t="str">
        <f t="shared" si="0"/>
        <v/>
      </c>
      <c r="I5" s="1" t="str">
        <f>VLOOKUP(C5,Index!$A:$C,3,0)</f>
        <v>4T</v>
      </c>
    </row>
    <row r="6" spans="1:9" x14ac:dyDescent="0.3">
      <c r="B6" s="9">
        <v>5</v>
      </c>
      <c r="C6" s="1" t="s">
        <v>39</v>
      </c>
      <c r="D6" s="1"/>
      <c r="E6" s="5"/>
      <c r="F6" s="5"/>
      <c r="G6" s="5" t="str">
        <f>VLOOKUP(I6,Index!$N:$O,2,0)</f>
        <v>GSDRS/SDCO/GSC\SPM03-Consultant - Testing</v>
      </c>
      <c r="H6" s="1" t="str">
        <f t="shared" si="0"/>
        <v/>
      </c>
      <c r="I6" s="1" t="str">
        <f>VLOOKUP(C6,Index!$A:$C,3,0)</f>
        <v>4T</v>
      </c>
    </row>
    <row r="7" spans="1:9" x14ac:dyDescent="0.3">
      <c r="B7" s="9">
        <v>6</v>
      </c>
      <c r="C7" s="1" t="s">
        <v>39</v>
      </c>
      <c r="D7" s="1"/>
      <c r="E7" s="5"/>
      <c r="F7" s="5"/>
      <c r="G7" s="5" t="str">
        <f>VLOOKUP(I7,Index!$N:$O,2,0)</f>
        <v>GSDRS/SDCO/GSC\SPM03-Consultant - Testing</v>
      </c>
      <c r="H7" s="1" t="str">
        <f t="shared" si="0"/>
        <v/>
      </c>
      <c r="I7" s="1" t="str">
        <f>VLOOKUP(C7,Index!$A:$C,3,0)</f>
        <v>4T</v>
      </c>
    </row>
    <row r="8" spans="1:9" x14ac:dyDescent="0.3">
      <c r="B8" s="9">
        <v>7</v>
      </c>
      <c r="C8" s="1" t="s">
        <v>39</v>
      </c>
      <c r="D8" s="1"/>
      <c r="E8" s="5"/>
      <c r="F8" s="5"/>
      <c r="G8" s="5" t="str">
        <f>VLOOKUP(I8,Index!$N:$O,2,0)</f>
        <v>GSDRS/SDCO/GSC\SPM03-Consultant - Testing</v>
      </c>
      <c r="H8" s="1" t="str">
        <f t="shared" si="0"/>
        <v/>
      </c>
      <c r="I8" s="1" t="str">
        <f>VLOOKUP(C8,Index!$A:$C,3,0)</f>
        <v>4T</v>
      </c>
    </row>
    <row r="9" spans="1:9" x14ac:dyDescent="0.3">
      <c r="B9" s="9">
        <v>8</v>
      </c>
      <c r="C9" s="1" t="s">
        <v>39</v>
      </c>
      <c r="D9" s="1"/>
      <c r="E9" s="5"/>
      <c r="F9" s="5"/>
      <c r="G9" s="5" t="str">
        <f>VLOOKUP(I9,Index!$N:$O,2,0)</f>
        <v>GSDRS/SDCO/GSC\SPM03-Consultant - Testing</v>
      </c>
      <c r="H9" s="1" t="str">
        <f t="shared" si="0"/>
        <v/>
      </c>
      <c r="I9" s="1" t="str">
        <f>VLOOKUP(C9,Index!$A:$C,3,0)</f>
        <v>4T</v>
      </c>
    </row>
    <row r="10" spans="1:9" x14ac:dyDescent="0.3">
      <c r="B10" s="9">
        <v>9</v>
      </c>
      <c r="C10" s="1" t="s">
        <v>39</v>
      </c>
      <c r="D10" s="1"/>
      <c r="E10" s="5"/>
      <c r="F10" s="5"/>
      <c r="G10" s="5" t="str">
        <f>VLOOKUP(I10,Index!$N:$O,2,0)</f>
        <v>GSDRS/SDCO/GSC\SPM03-Consultant - Testing</v>
      </c>
      <c r="H10" s="1" t="str">
        <f t="shared" si="0"/>
        <v/>
      </c>
      <c r="I10" s="1" t="str">
        <f>VLOOKUP(C10,Index!$A:$C,3,0)</f>
        <v>4T</v>
      </c>
    </row>
    <row r="11" spans="1:9" x14ac:dyDescent="0.3">
      <c r="B11" s="9">
        <v>10</v>
      </c>
      <c r="C11" s="1" t="s">
        <v>39</v>
      </c>
      <c r="D11" s="1"/>
      <c r="E11" s="5"/>
      <c r="F11" s="5"/>
      <c r="G11" s="5" t="str">
        <f>VLOOKUP(I11,Index!$N:$O,2,0)</f>
        <v>GSDRS/SDCO/GSC\SPM03-Consultant - Testing</v>
      </c>
      <c r="H11" s="1" t="str">
        <f t="shared" si="0"/>
        <v/>
      </c>
      <c r="I11" s="1" t="str">
        <f>VLOOKUP(C11,Index!$A:$C,3,0)</f>
        <v>4T</v>
      </c>
    </row>
    <row r="12" spans="1:9" x14ac:dyDescent="0.3">
      <c r="B12" s="9">
        <v>11</v>
      </c>
      <c r="C12" s="1" t="s">
        <v>39</v>
      </c>
      <c r="D12" s="1"/>
      <c r="E12" s="5"/>
      <c r="F12" s="5"/>
      <c r="G12" s="5" t="str">
        <f>VLOOKUP(I12,Index!$N:$O,2,0)</f>
        <v>GSDRS/SDCO/GSC\SPM03-Consultant - Testing</v>
      </c>
      <c r="H12" s="1" t="str">
        <f t="shared" si="0"/>
        <v/>
      </c>
      <c r="I12" s="1" t="str">
        <f>VLOOKUP(C12,Index!$A:$C,3,0)</f>
        <v>4T</v>
      </c>
    </row>
  </sheetData>
  <dataValidations count="3">
    <dataValidation type="textLength" operator="lessThanOrEqual" allowBlank="1" showInputMessage="1" showErrorMessage="1" errorTitle="Task Name Length Invalid" error="Task Name length should be &lt;= 36" promptTitle="Task Name length should be &lt;= 36" sqref="D1:D12" xr:uid="{98A0C96B-A0A7-4F77-B33D-5590AAE018F6}">
      <formula1>36</formula1>
    </dataValidation>
    <dataValidation showInputMessage="1" showErrorMessage="1" errorTitle="Invalid Date Format" error="Date Format should be DD-MM-YYYY" promptTitle="Date Format should be DD-MM-YYYY" sqref="E1:F1" xr:uid="{CA44A256-38BF-440C-BCA9-0ECB1D6F4096}"/>
    <dataValidation type="date" showInputMessage="1" showErrorMessage="1" errorTitle="Invalid Date Format" error="Date Format should be DD-MM-YYYY" promptTitle="Date Format should be DD-MM-YYYY" sqref="E2:F12" xr:uid="{95B52CE9-9166-47E4-9D82-FE8390F14C3B}">
      <formula1>44562</formula1>
      <formula2>2958101</formula2>
    </dataValidation>
  </dataValidations>
  <hyperlinks>
    <hyperlink ref="A1" location="'Index'!A1" tooltip="Return to Index" display="Index" xr:uid="{C16C5FC4-CCDF-4148-AD37-D3EAB66774D0}"/>
  </hyperlink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23105-2C64-4C71-B639-DA8B8901BC49}">
  <dimension ref="A1:I12"/>
  <sheetViews>
    <sheetView workbookViewId="0">
      <selection activeCell="C2" sqref="C2"/>
    </sheetView>
  </sheetViews>
  <sheetFormatPr defaultRowHeight="14.4" x14ac:dyDescent="0.3"/>
  <cols>
    <col min="2" max="2" width="3.44140625" bestFit="1" customWidth="1"/>
    <col min="3" max="3" width="6" bestFit="1" customWidth="1"/>
    <col min="4" max="4" width="18.33203125" bestFit="1" customWidth="1"/>
    <col min="5" max="5" width="9.33203125" bestFit="1" customWidth="1"/>
    <col min="6" max="6" width="8.5546875" bestFit="1" customWidth="1"/>
    <col min="7" max="7" width="38.6640625" bestFit="1" customWidth="1"/>
    <col min="8" max="8" width="11.6640625" bestFit="1" customWidth="1"/>
  </cols>
  <sheetData>
    <row r="1" spans="1:9" ht="28.8" x14ac:dyDescent="0.3">
      <c r="A1" s="3" t="s">
        <v>41</v>
      </c>
      <c r="B1" s="34" t="s">
        <v>1</v>
      </c>
      <c r="C1" s="34" t="s">
        <v>0</v>
      </c>
      <c r="D1" s="34" t="s">
        <v>33</v>
      </c>
      <c r="E1" s="35" t="s">
        <v>36</v>
      </c>
      <c r="F1" s="35" t="s">
        <v>37</v>
      </c>
      <c r="G1" s="35" t="s">
        <v>28</v>
      </c>
      <c r="H1" s="7" t="s">
        <v>3</v>
      </c>
      <c r="I1" s="2" t="s">
        <v>5</v>
      </c>
    </row>
    <row r="2" spans="1:9" x14ac:dyDescent="0.3">
      <c r="B2" s="8">
        <v>1</v>
      </c>
      <c r="C2" s="1" t="s">
        <v>38</v>
      </c>
      <c r="D2" s="1"/>
      <c r="E2" s="5"/>
      <c r="F2" s="5"/>
      <c r="G2" s="5" t="str">
        <f>VLOOKUP(I2,Index!$N:$O,2,0)</f>
        <v>GSDRS/SDCO/GSC\SPM03-Associate Engineer</v>
      </c>
      <c r="H2" s="1" t="str">
        <f>IF(LEN(D2)=0,"",LEN(D2))</f>
        <v/>
      </c>
      <c r="I2" s="1" t="str">
        <f>VLOOKUP(C2,Index!$A:$C,3,0)</f>
        <v>2T</v>
      </c>
    </row>
    <row r="3" spans="1:9" x14ac:dyDescent="0.3">
      <c r="B3" s="8">
        <v>2</v>
      </c>
      <c r="C3" s="1" t="s">
        <v>38</v>
      </c>
      <c r="D3" s="1"/>
      <c r="E3" s="5"/>
      <c r="F3" s="5"/>
      <c r="G3" s="5" t="str">
        <f>VLOOKUP(I3,Index!$N:$O,2,0)</f>
        <v>GSDRS/SDCO/GSC\SPM03-Associate Engineer</v>
      </c>
      <c r="H3" s="1" t="str">
        <f t="shared" ref="H3:H12" si="0">IF(LEN(D3)=0,"",LEN(D3))</f>
        <v/>
      </c>
      <c r="I3" s="1" t="str">
        <f>VLOOKUP(C3,Index!$A:$C,3,0)</f>
        <v>2T</v>
      </c>
    </row>
    <row r="4" spans="1:9" x14ac:dyDescent="0.3">
      <c r="B4" s="8">
        <v>3</v>
      </c>
      <c r="C4" s="1" t="s">
        <v>38</v>
      </c>
      <c r="D4" s="1"/>
      <c r="E4" s="5"/>
      <c r="F4" s="5"/>
      <c r="G4" s="5" t="str">
        <f>VLOOKUP(I4,Index!$N:$O,2,0)</f>
        <v>GSDRS/SDCO/GSC\SPM03-Associate Engineer</v>
      </c>
      <c r="H4" s="1" t="str">
        <f t="shared" si="0"/>
        <v/>
      </c>
      <c r="I4" s="1" t="str">
        <f>VLOOKUP(C4,Index!$A:$C,3,0)</f>
        <v>2T</v>
      </c>
    </row>
    <row r="5" spans="1:9" x14ac:dyDescent="0.3">
      <c r="B5" s="9">
        <v>4</v>
      </c>
      <c r="C5" s="1" t="s">
        <v>38</v>
      </c>
      <c r="D5" s="1"/>
      <c r="E5" s="5"/>
      <c r="F5" s="5"/>
      <c r="G5" s="5" t="str">
        <f>VLOOKUP(I5,Index!$N:$O,2,0)</f>
        <v>GSDRS/SDCO/GSC\SPM03-Associate Engineer</v>
      </c>
      <c r="H5" s="1" t="str">
        <f t="shared" si="0"/>
        <v/>
      </c>
      <c r="I5" s="1" t="str">
        <f>VLOOKUP(C5,Index!$A:$C,3,0)</f>
        <v>2T</v>
      </c>
    </row>
    <row r="6" spans="1:9" x14ac:dyDescent="0.3">
      <c r="B6" s="9">
        <v>5</v>
      </c>
      <c r="C6" s="1" t="s">
        <v>38</v>
      </c>
      <c r="D6" s="1"/>
      <c r="E6" s="5"/>
      <c r="F6" s="5"/>
      <c r="G6" s="5" t="str">
        <f>VLOOKUP(I6,Index!$N:$O,2,0)</f>
        <v>GSDRS/SDCO/GSC\SPM03-Associate Engineer</v>
      </c>
      <c r="H6" s="1" t="str">
        <f t="shared" si="0"/>
        <v/>
      </c>
      <c r="I6" s="1" t="str">
        <f>VLOOKUP(C6,Index!$A:$C,3,0)</f>
        <v>2T</v>
      </c>
    </row>
    <row r="7" spans="1:9" x14ac:dyDescent="0.3">
      <c r="B7" s="9">
        <v>6</v>
      </c>
      <c r="C7" s="1" t="s">
        <v>38</v>
      </c>
      <c r="D7" s="1"/>
      <c r="E7" s="5"/>
      <c r="F7" s="5"/>
      <c r="G7" s="5" t="str">
        <f>VLOOKUP(I7,Index!$N:$O,2,0)</f>
        <v>GSDRS/SDCO/GSC\SPM03-Associate Engineer</v>
      </c>
      <c r="H7" s="1" t="str">
        <f t="shared" si="0"/>
        <v/>
      </c>
      <c r="I7" s="1" t="str">
        <f>VLOOKUP(C7,Index!$A:$C,3,0)</f>
        <v>2T</v>
      </c>
    </row>
    <row r="8" spans="1:9" x14ac:dyDescent="0.3">
      <c r="B8" s="9">
        <v>7</v>
      </c>
      <c r="C8" s="1" t="s">
        <v>38</v>
      </c>
      <c r="D8" s="1"/>
      <c r="E8" s="5"/>
      <c r="F8" s="5"/>
      <c r="G8" s="5" t="str">
        <f>VLOOKUP(I8,Index!$N:$O,2,0)</f>
        <v>GSDRS/SDCO/GSC\SPM03-Associate Engineer</v>
      </c>
      <c r="H8" s="1" t="str">
        <f t="shared" si="0"/>
        <v/>
      </c>
      <c r="I8" s="1" t="str">
        <f>VLOOKUP(C8,Index!$A:$C,3,0)</f>
        <v>2T</v>
      </c>
    </row>
    <row r="9" spans="1:9" x14ac:dyDescent="0.3">
      <c r="B9" s="9">
        <v>8</v>
      </c>
      <c r="C9" s="1" t="s">
        <v>38</v>
      </c>
      <c r="D9" s="1"/>
      <c r="E9" s="5"/>
      <c r="F9" s="5"/>
      <c r="G9" s="5" t="str">
        <f>VLOOKUP(I9,Index!$N:$O,2,0)</f>
        <v>GSDRS/SDCO/GSC\SPM03-Associate Engineer</v>
      </c>
      <c r="H9" s="1" t="str">
        <f t="shared" si="0"/>
        <v/>
      </c>
      <c r="I9" s="1" t="str">
        <f>VLOOKUP(C9,Index!$A:$C,3,0)</f>
        <v>2T</v>
      </c>
    </row>
    <row r="10" spans="1:9" x14ac:dyDescent="0.3">
      <c r="B10" s="9">
        <v>9</v>
      </c>
      <c r="C10" s="1" t="s">
        <v>38</v>
      </c>
      <c r="D10" s="1"/>
      <c r="E10" s="5"/>
      <c r="F10" s="5"/>
      <c r="G10" s="5" t="str">
        <f>VLOOKUP(I10,Index!$N:$O,2,0)</f>
        <v>GSDRS/SDCO/GSC\SPM03-Associate Engineer</v>
      </c>
      <c r="H10" s="1" t="str">
        <f t="shared" si="0"/>
        <v/>
      </c>
      <c r="I10" s="1" t="str">
        <f>VLOOKUP(C10,Index!$A:$C,3,0)</f>
        <v>2T</v>
      </c>
    </row>
    <row r="11" spans="1:9" x14ac:dyDescent="0.3">
      <c r="B11" s="9">
        <v>10</v>
      </c>
      <c r="C11" s="1" t="s">
        <v>38</v>
      </c>
      <c r="D11" s="1"/>
      <c r="E11" s="5"/>
      <c r="F11" s="5"/>
      <c r="G11" s="5" t="str">
        <f>VLOOKUP(I11,Index!$N:$O,2,0)</f>
        <v>GSDRS/SDCO/GSC\SPM03-Associate Engineer</v>
      </c>
      <c r="H11" s="1" t="str">
        <f t="shared" si="0"/>
        <v/>
      </c>
      <c r="I11" s="1" t="str">
        <f>VLOOKUP(C11,Index!$A:$C,3,0)</f>
        <v>2T</v>
      </c>
    </row>
    <row r="12" spans="1:9" x14ac:dyDescent="0.3">
      <c r="B12" s="9">
        <v>11</v>
      </c>
      <c r="C12" s="1" t="s">
        <v>38</v>
      </c>
      <c r="D12" s="1"/>
      <c r="E12" s="5"/>
      <c r="F12" s="5"/>
      <c r="G12" s="5" t="str">
        <f>VLOOKUP(I12,Index!$N:$O,2,0)</f>
        <v>GSDRS/SDCO/GSC\SPM03-Associate Engineer</v>
      </c>
      <c r="H12" s="1" t="str">
        <f t="shared" si="0"/>
        <v/>
      </c>
      <c r="I12" s="1" t="str">
        <f>VLOOKUP(C12,Index!$A:$C,3,0)</f>
        <v>2T</v>
      </c>
    </row>
  </sheetData>
  <dataValidations count="3">
    <dataValidation type="textLength" operator="lessThanOrEqual" allowBlank="1" showInputMessage="1" showErrorMessage="1" errorTitle="Task Name Length Invalid" error="Task Name length should be &lt;= 36" promptTitle="Task Name length should be &lt;= 36" sqref="D1:D12" xr:uid="{639E0142-054E-43DF-AD63-41A359032073}">
      <formula1>36</formula1>
    </dataValidation>
    <dataValidation showInputMessage="1" showErrorMessage="1" errorTitle="Invalid Date Format" error="Date Format should be DD-MM-YYYY" promptTitle="Date Format should be DD-MM-YYYY" sqref="E1:F1" xr:uid="{14C060EB-73F9-4FC0-B773-806E3DE80187}"/>
    <dataValidation type="date" showInputMessage="1" showErrorMessage="1" errorTitle="Invalid Date Format" error="Date Format should be DD-MM-YYYY" promptTitle="Date Format should be DD-MM-YYYY" sqref="E2:F12" xr:uid="{894227C7-C9C7-4C44-BE00-C0A974DD15FE}">
      <formula1>44562</formula1>
      <formula2>2958101</formula2>
    </dataValidation>
  </dataValidations>
  <hyperlinks>
    <hyperlink ref="A1" location="'Index'!A1" tooltip="Return to Index" display="Index" xr:uid="{FB9F6F90-5ED0-4C3E-B6EB-C379B6E9D876}"/>
  </hyperlinks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Master</vt:lpstr>
      <vt:lpstr>Index</vt:lpstr>
      <vt:lpstr>Sumant Nandanwadkar</vt:lpstr>
      <vt:lpstr>Nikhil Joshi</vt:lpstr>
      <vt:lpstr>Nikhil Dhepe</vt:lpstr>
      <vt:lpstr>Supriya Kshirsagar Joshi</vt:lpstr>
      <vt:lpstr>Purva Ghag</vt:lpstr>
      <vt:lpstr>Sapana Gawande</vt:lpstr>
      <vt:lpstr>Sachin Shet</vt:lpstr>
      <vt:lpstr>Amit Sinha</vt:lpstr>
      <vt:lpstr>YC</vt:lpstr>
      <vt:lpstr>TBA</vt:lpstr>
      <vt:lpstr>Names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Nandanwadkar, Sumant</dc:creator>
  <cp:lastModifiedBy>Joshi, Nikhil</cp:lastModifiedBy>
  <dcterms:created xsi:type="dcterms:W3CDTF">2021-06-30T05:19:53Z</dcterms:created>
  <dcterms:modified xsi:type="dcterms:W3CDTF">2022-07-06T11:43:32Z</dcterms:modified>
</cp:coreProperties>
</file>