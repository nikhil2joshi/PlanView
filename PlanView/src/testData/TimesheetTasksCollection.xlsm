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566317\git\PlanView\PlanView\src\testData\"/>
    </mc:Choice>
  </mc:AlternateContent>
  <xr:revisionPtr revIDLastSave="0" documentId="13_ncr:1_{93B77BD7-4289-4759-94D6-8E5A882003EA}" xr6:coauthVersionLast="47" xr6:coauthVersionMax="47" xr10:uidLastSave="{00000000-0000-0000-0000-000000000000}"/>
  <bookViews>
    <workbookView xWindow="-108" yWindow="-108" windowWidth="23256" windowHeight="12576" tabRatio="839" xr2:uid="{E3E5BEC3-8EF3-422A-B8FE-687D5C96D95D}"/>
  </bookViews>
  <sheets>
    <sheet name="Master" sheetId="2817" r:id="rId1"/>
    <sheet name="Index" sheetId="1" r:id="rId2"/>
    <sheet name="Sumant Nandanwadkar" sheetId="2816" r:id="rId3"/>
    <sheet name="Nikhil Joshi" sheetId="2815" r:id="rId4"/>
    <sheet name="Nikhil Dhepe" sheetId="2814" r:id="rId5"/>
    <sheet name="Supriya Kshirsagar Joshi" sheetId="2813" r:id="rId6"/>
    <sheet name="Purva Ghag" sheetId="2812" r:id="rId7"/>
  </sheets>
  <definedNames>
    <definedName name="Names">Index!$A$1:$A$14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812" l="1"/>
  <c r="G2" i="2812" s="1"/>
  <c r="I3" i="2812"/>
  <c r="G3" i="2812" s="1"/>
  <c r="I4" i="2812"/>
  <c r="G4" i="2812" s="1"/>
  <c r="I5" i="2812"/>
  <c r="G5" i="2812" s="1"/>
  <c r="I6" i="2812"/>
  <c r="G6" i="2812" s="1"/>
  <c r="I7" i="2812"/>
  <c r="G7" i="2812" s="1"/>
  <c r="I8" i="2812"/>
  <c r="G8" i="2812" s="1"/>
  <c r="I9" i="2812"/>
  <c r="G9" i="2812" s="1"/>
  <c r="I10" i="2812"/>
  <c r="G10" i="2812" s="1"/>
  <c r="I11" i="2812"/>
  <c r="G11" i="2812" s="1"/>
  <c r="I12" i="2812"/>
  <c r="G12" i="2812" s="1"/>
  <c r="H12" i="2812"/>
  <c r="H11" i="2812"/>
  <c r="H10" i="2812"/>
  <c r="H9" i="2812"/>
  <c r="H8" i="2812"/>
  <c r="H7" i="2812"/>
  <c r="H6" i="2812"/>
  <c r="H5" i="2812"/>
  <c r="H4" i="2812"/>
  <c r="H3" i="2812"/>
  <c r="H2" i="2812"/>
  <c r="I2" i="2813"/>
  <c r="G2" i="2813" s="1"/>
  <c r="I3" i="2813"/>
  <c r="G3" i="2813" s="1"/>
  <c r="I4" i="2813"/>
  <c r="G4" i="2813" s="1"/>
  <c r="I5" i="2813"/>
  <c r="G5" i="2813" s="1"/>
  <c r="I6" i="2813"/>
  <c r="G6" i="2813" s="1"/>
  <c r="I7" i="2813"/>
  <c r="G7" i="2813" s="1"/>
  <c r="I8" i="2813"/>
  <c r="G8" i="2813" s="1"/>
  <c r="I9" i="2813"/>
  <c r="G9" i="2813" s="1"/>
  <c r="I10" i="2813"/>
  <c r="G10" i="2813" s="1"/>
  <c r="I11" i="2813"/>
  <c r="G11" i="2813" s="1"/>
  <c r="I12" i="2813"/>
  <c r="G12" i="2813" s="1"/>
  <c r="H12" i="2813"/>
  <c r="H11" i="2813"/>
  <c r="H10" i="2813"/>
  <c r="H9" i="2813"/>
  <c r="H8" i="2813"/>
  <c r="H7" i="2813"/>
  <c r="H6" i="2813"/>
  <c r="H5" i="2813"/>
  <c r="H4" i="2813"/>
  <c r="H3" i="2813"/>
  <c r="H2" i="2813"/>
  <c r="I2" i="2814"/>
  <c r="G2" i="2814" s="1"/>
  <c r="I3" i="2814"/>
  <c r="G3" i="2814" s="1"/>
  <c r="I4" i="2814"/>
  <c r="G4" i="2814" s="1"/>
  <c r="I5" i="2814"/>
  <c r="G5" i="2814" s="1"/>
  <c r="I6" i="2814"/>
  <c r="G6" i="2814" s="1"/>
  <c r="I7" i="2814"/>
  <c r="G7" i="2814" s="1"/>
  <c r="I8" i="2814"/>
  <c r="G8" i="2814" s="1"/>
  <c r="I9" i="2814"/>
  <c r="G9" i="2814" s="1"/>
  <c r="I10" i="2814"/>
  <c r="G10" i="2814" s="1"/>
  <c r="I11" i="2814"/>
  <c r="G11" i="2814" s="1"/>
  <c r="I12" i="2814"/>
  <c r="G12" i="2814" s="1"/>
  <c r="H12" i="2814"/>
  <c r="H11" i="2814"/>
  <c r="H10" i="2814"/>
  <c r="H9" i="2814"/>
  <c r="H8" i="2814"/>
  <c r="H7" i="2814"/>
  <c r="H6" i="2814"/>
  <c r="H5" i="2814"/>
  <c r="H4" i="2814"/>
  <c r="H3" i="2814"/>
  <c r="H2" i="2814"/>
  <c r="I2" i="2815"/>
  <c r="G2" i="2815" s="1"/>
  <c r="I3" i="2815"/>
  <c r="G3" i="2815" s="1"/>
  <c r="I4" i="2815"/>
  <c r="G4" i="2815" s="1"/>
  <c r="I5" i="2815"/>
  <c r="G5" i="2815" s="1"/>
  <c r="I6" i="2815"/>
  <c r="G6" i="2815" s="1"/>
  <c r="I7" i="2815"/>
  <c r="G7" i="2815" s="1"/>
  <c r="I8" i="2815"/>
  <c r="G8" i="2815" s="1"/>
  <c r="I9" i="2815"/>
  <c r="G9" i="2815" s="1"/>
  <c r="I10" i="2815"/>
  <c r="G10" i="2815" s="1"/>
  <c r="I11" i="2815"/>
  <c r="G11" i="2815" s="1"/>
  <c r="I12" i="2815"/>
  <c r="G12" i="2815" s="1"/>
  <c r="H12" i="2815"/>
  <c r="H11" i="2815"/>
  <c r="H10" i="2815"/>
  <c r="H9" i="2815"/>
  <c r="H8" i="2815"/>
  <c r="H7" i="2815"/>
  <c r="H6" i="2815"/>
  <c r="H5" i="2815"/>
  <c r="H4" i="2815"/>
  <c r="H3" i="2815"/>
  <c r="H2" i="2815"/>
  <c r="I2" i="2816"/>
  <c r="G2" i="2816" s="1"/>
  <c r="I3" i="2816"/>
  <c r="G3" i="2816" s="1"/>
  <c r="I4" i="2816"/>
  <c r="G4" i="2816" s="1"/>
  <c r="I5" i="2816"/>
  <c r="G5" i="2816" s="1"/>
  <c r="I6" i="2816"/>
  <c r="G6" i="2816" s="1"/>
  <c r="I7" i="2816"/>
  <c r="G7" i="2816" s="1"/>
  <c r="I8" i="2816"/>
  <c r="G8" i="2816" s="1"/>
  <c r="I9" i="2816"/>
  <c r="G9" i="2816" s="1"/>
  <c r="I10" i="2816"/>
  <c r="G10" i="2816" s="1"/>
  <c r="I11" i="2816"/>
  <c r="G11" i="2816" s="1"/>
  <c r="I12" i="2816"/>
  <c r="G12" i="2816" s="1"/>
  <c r="H12" i="2816"/>
  <c r="H11" i="2816"/>
  <c r="H10" i="2816"/>
  <c r="H9" i="2816"/>
  <c r="H8" i="2816"/>
  <c r="H7" i="2816"/>
  <c r="H6" i="2816"/>
  <c r="H5" i="2816"/>
  <c r="H4" i="2816"/>
  <c r="H3" i="2816"/>
  <c r="H2" i="2816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3" i="1"/>
  <c r="O4" i="1"/>
  <c r="O5" i="1"/>
  <c r="O6" i="1"/>
  <c r="O7" i="1"/>
  <c r="O8" i="1"/>
  <c r="O9" i="1"/>
  <c r="O10" i="1"/>
  <c r="O11" i="1"/>
  <c r="O2" i="1"/>
</calcChain>
</file>

<file path=xl/sharedStrings.xml><?xml version="1.0" encoding="utf-8"?>
<sst xmlns="http://schemas.openxmlformats.org/spreadsheetml/2006/main" count="216" uniqueCount="50">
  <si>
    <t>Name</t>
  </si>
  <si>
    <t>Sr. No</t>
  </si>
  <si>
    <t>INDEX</t>
  </si>
  <si>
    <t>Index</t>
  </si>
  <si>
    <t>Task name Length</t>
  </si>
  <si>
    <r>
      <t xml:space="preserve">Task Name - Activity
</t>
    </r>
    <r>
      <rPr>
        <b/>
        <sz val="8"/>
        <color rgb="FF000000"/>
        <rFont val="Calibri"/>
        <family val="2"/>
      </rPr>
      <t>Max length = 36</t>
    </r>
  </si>
  <si>
    <t>Sumant Nandanwadkar</t>
  </si>
  <si>
    <t>GCM</t>
  </si>
  <si>
    <t>Supriya Kshirsagar Joshi</t>
  </si>
  <si>
    <t>Nikhil Joshi</t>
  </si>
  <si>
    <t>Purva Ghag</t>
  </si>
  <si>
    <t>Member GCM</t>
  </si>
  <si>
    <t>5T</t>
  </si>
  <si>
    <t>4T</t>
  </si>
  <si>
    <t>3T</t>
  </si>
  <si>
    <t>2T</t>
  </si>
  <si>
    <t>Role in Planview</t>
  </si>
  <si>
    <t>1T</t>
  </si>
  <si>
    <t>1D</t>
  </si>
  <si>
    <t>2D</t>
  </si>
  <si>
    <t>3D</t>
  </si>
  <si>
    <t>4D</t>
  </si>
  <si>
    <t>5D</t>
  </si>
  <si>
    <t>3B</t>
  </si>
  <si>
    <t>GSDRS/SDCO/GSC\SPM03-Consultant - Testing</t>
  </si>
  <si>
    <t>GSDRS/SDCO/GSC\SPM03-Trainee Engineer</t>
  </si>
  <si>
    <t>GSDRS/SDCO/GSC\SPM03-Associate Engineer</t>
  </si>
  <si>
    <t>GSDRS/SDCO/GSC\SPM03-Senior Consultant - Testing</t>
  </si>
  <si>
    <t>6T</t>
  </si>
  <si>
    <t>GSDRS/SDCO/GSC\SPM03-Lead Consultant</t>
  </si>
  <si>
    <t>GCM Role for PlanView</t>
  </si>
  <si>
    <r>
      <t xml:space="preserve">Start Date
</t>
    </r>
    <r>
      <rPr>
        <b/>
        <sz val="8"/>
        <color rgb="FF000000"/>
        <rFont val="Calibri"/>
        <family val="2"/>
      </rPr>
      <t>DD-MM-YYYY</t>
    </r>
  </si>
  <si>
    <r>
      <t xml:space="preserve">End Date 
</t>
    </r>
    <r>
      <rPr>
        <b/>
        <sz val="8"/>
        <color rgb="FF000000"/>
        <rFont val="Calibri"/>
        <family val="2"/>
      </rPr>
      <t>DD-MM-YYYY</t>
    </r>
  </si>
  <si>
    <t>GSDRS/SDCO/GSC\SPM03-Asscociate Consultant-Testing</t>
  </si>
  <si>
    <t/>
  </si>
  <si>
    <t>Sum -TE</t>
  </si>
  <si>
    <t>PUV -TE</t>
  </si>
  <si>
    <t>N J 1!-TE</t>
  </si>
  <si>
    <t>Sum123 -TE</t>
  </si>
  <si>
    <t>ND- -TS</t>
  </si>
  <si>
    <t>ND1- -TS</t>
  </si>
  <si>
    <t>ND3- -TS</t>
  </si>
  <si>
    <t>ND4- -TS</t>
  </si>
  <si>
    <t>ND5- -TS</t>
  </si>
  <si>
    <t>TS1</t>
  </si>
  <si>
    <t>TS2</t>
  </si>
  <si>
    <t>TS3</t>
  </si>
  <si>
    <t>TS5</t>
  </si>
  <si>
    <t>TS6</t>
  </si>
  <si>
    <t>Nikhil Dhepe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</si>
</sst>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0" fillId="0" borderId="1" xfId="0" applyFill="1" applyBorder="1"/>
    <xf numFmtId="0" fontId="1" fillId="0" borderId="0" xfId="1" applyBorder="1" applyAlignment="1">
      <alignment horizontal="center" vertical="center" wrapText="1"/>
    </xf>
    <xf numFmtId="164" fontId="0" fillId="0" borderId="1" xfId="0" applyNumberFormat="1" applyBorder="1"/>
    <xf numFmtId="164" fontId="0" fillId="0" borderId="0" xfId="0" applyNumberFormat="1"/>
    <xf numFmtId="164" fontId="2" fillId="2" borderId="1" xfId="0" applyNumberFormat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1" applyBorder="1" applyAlignment="1">
      <alignment wrapText="1"/>
    </xf>
    <xf numFmtId="0" fontId="0" fillId="0" borderId="1" xfId="0" applyFill="1" applyBorder="1" applyAlignment="1">
      <alignment horizontal="center" wrapText="1"/>
    </xf>
    <xf numFmtId="0" fontId="0" fillId="0" borderId="0" xfId="0" applyBorder="1" applyAlignment="1">
      <alignment wrapText="1"/>
    </xf>
    <xf numFmtId="0" fontId="1" fillId="2" borderId="0" xfId="1" applyFill="1" applyBorder="1" applyAlignment="1">
      <alignment horizontal="center" vertical="center" wrapText="1"/>
    </xf>
    <xf numFmtId="0" fontId="1" fillId="0" borderId="0" xfId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0" fillId="0" borderId="0" xfId="0" applyAlignment="1"/>
    <xf numFmtId="0" fontId="0" fillId="0" borderId="1" xfId="0" applyFill="1" applyBorder="1" applyAlignment="1">
      <alignment horizontal="left"/>
    </xf>
    <xf numFmtId="0" fontId="1" fillId="2" borderId="1" xfId="1" applyFill="1" applyBorder="1" applyAlignment="1">
      <alignment horizontal="left" vertical="center"/>
    </xf>
    <xf numFmtId="0" fontId="1" fillId="0" borderId="1" xfId="1" applyBorder="1" applyAlignment="1">
      <alignment horizontal="left" vertical="center"/>
    </xf>
    <xf numFmtId="0" fontId="1" fillId="0" borderId="0" xfId="1" applyBorder="1" applyAlignment="1">
      <alignment horizontal="left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left"/>
    </xf>
    <xf numFmtId="0" fontId="0" fillId="0" borderId="2" xfId="0" applyFill="1" applyBorder="1" applyAlignment="1">
      <alignment horizontal="center" wrapText="1"/>
    </xf>
    <xf numFmtId="164" fontId="0" fillId="0" borderId="1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10</xdr:row>
          <xdr:rowOff>175260</xdr:rowOff>
        </xdr:from>
        <xdr:to>
          <xdr:col>1</xdr:col>
          <xdr:colOff>358140</xdr:colOff>
          <xdr:row>12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Sheets Except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13</xdr:row>
          <xdr:rowOff>0</xdr:rowOff>
        </xdr:from>
        <xdr:to>
          <xdr:col>1</xdr:col>
          <xdr:colOff>381000</xdr:colOff>
          <xdr:row>14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member wise sheets with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15</xdr:row>
          <xdr:rowOff>7620</xdr:rowOff>
        </xdr:from>
        <xdr:to>
          <xdr:col>1</xdr:col>
          <xdr:colOff>396240</xdr:colOff>
          <xdr:row>17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Master sheet with all data consolidated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18</xdr:row>
          <xdr:rowOff>0</xdr:rowOff>
        </xdr:from>
        <xdr:to>
          <xdr:col>1</xdr:col>
          <xdr:colOff>403860</xdr:colOff>
          <xdr:row>19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Only Master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20</xdr:row>
          <xdr:rowOff>45720</xdr:rowOff>
        </xdr:from>
        <xdr:to>
          <xdr:col>1</xdr:col>
          <xdr:colOff>144780</xdr:colOff>
          <xdr:row>22</xdr:row>
          <xdr:rowOff>99060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AA6F0-F696-4B35-8D90-BE2592A537FA}">
  <sheetPr codeName="Sheet319"/>
  <dimension ref="A1:F16"/>
  <sheetViews>
    <sheetView tabSelected="1" workbookViewId="0">
      <selection activeCell="F8" sqref="F8"/>
    </sheetView>
  </sheetViews>
  <sheetFormatPr defaultRowHeight="14.4" x14ac:dyDescent="0.3"/>
  <cols>
    <col min="1" max="1" width="6.109375" style="10" bestFit="1" customWidth="1"/>
    <col min="2" max="2" width="21.21875" bestFit="1" customWidth="1"/>
    <col min="3" max="3" width="10.6640625" bestFit="1" customWidth="1"/>
    <col min="4" max="5" width="10.33203125" style="10" bestFit="1" customWidth="1"/>
    <col min="6" max="6" width="50.5546875" bestFit="1" customWidth="1"/>
  </cols>
  <sheetData>
    <row r="1" spans="1:6" ht="49.2" x14ac:dyDescent="0.3">
      <c r="A1" s="2" t="s">
        <v>1</v>
      </c>
      <c r="B1" s="2" t="s">
        <v>0</v>
      </c>
      <c r="C1" s="2" t="s">
        <v>5</v>
      </c>
      <c r="D1" s="8" t="s">
        <v>31</v>
      </c>
      <c r="E1" s="8" t="s">
        <v>32</v>
      </c>
      <c r="F1" s="8" t="s">
        <v>30</v>
      </c>
    </row>
    <row r="2" spans="1:6" x14ac:dyDescent="0.3">
      <c r="A2" s="12">
        <v>1</v>
      </c>
      <c r="B2" s="1" t="s">
        <v>6</v>
      </c>
      <c r="C2" s="1" t="s">
        <v>35</v>
      </c>
      <c r="D2" s="29">
        <v>44562</v>
      </c>
      <c r="E2" s="29">
        <v>44896</v>
      </c>
      <c r="F2" s="6" t="s">
        <v>27</v>
      </c>
    </row>
    <row r="3" spans="1:6" x14ac:dyDescent="0.3">
      <c r="A3" s="12">
        <v>2</v>
      </c>
      <c r="B3" s="1" t="s">
        <v>9</v>
      </c>
      <c r="C3" s="1" t="s">
        <v>35</v>
      </c>
      <c r="D3" s="29">
        <v>44562</v>
      </c>
      <c r="E3" s="29">
        <v>44896</v>
      </c>
      <c r="F3" s="6" t="s">
        <v>27</v>
      </c>
    </row>
    <row r="4" spans="1:6" x14ac:dyDescent="0.3">
      <c r="A4" s="12">
        <v>1</v>
      </c>
      <c r="B4" s="1" t="s">
        <v>49</v>
      </c>
      <c r="C4" s="1" t="s">
        <v>35</v>
      </c>
      <c r="D4" s="29">
        <v>44652</v>
      </c>
      <c r="E4" s="29">
        <v>44896</v>
      </c>
      <c r="F4" s="6" t="s">
        <v>24</v>
      </c>
    </row>
    <row r="5" spans="1:6" x14ac:dyDescent="0.3">
      <c r="A5" s="12">
        <v>1</v>
      </c>
      <c r="B5" s="1" t="s">
        <v>49</v>
      </c>
      <c r="C5" s="1" t="s">
        <v>39</v>
      </c>
      <c r="D5" s="29">
        <v>44652</v>
      </c>
      <c r="E5" s="29">
        <v>44896</v>
      </c>
      <c r="F5" s="6" t="s">
        <v>33</v>
      </c>
    </row>
    <row r="6" spans="1:6" x14ac:dyDescent="0.3">
      <c r="A6" s="12">
        <v>2</v>
      </c>
      <c r="B6" s="1" t="s">
        <v>49</v>
      </c>
      <c r="C6" s="1" t="s">
        <v>39</v>
      </c>
      <c r="D6" s="29">
        <v>44562</v>
      </c>
      <c r="E6" s="29">
        <v>44562</v>
      </c>
      <c r="F6" s="6" t="s">
        <v>33</v>
      </c>
    </row>
    <row r="7" spans="1:6" x14ac:dyDescent="0.3">
      <c r="A7" s="12">
        <v>3</v>
      </c>
      <c r="B7" s="1" t="s">
        <v>9</v>
      </c>
      <c r="C7" s="1" t="s">
        <v>39</v>
      </c>
      <c r="D7" s="29">
        <v>44562</v>
      </c>
      <c r="E7" s="29">
        <v>44562</v>
      </c>
      <c r="F7" s="6" t="s">
        <v>33</v>
      </c>
    </row>
    <row r="8" spans="1:6" x14ac:dyDescent="0.3">
      <c r="A8" s="13">
        <v>4</v>
      </c>
      <c r="B8" s="1" t="s">
        <v>49</v>
      </c>
      <c r="C8" s="1" t="s">
        <v>41</v>
      </c>
      <c r="D8" s="29">
        <v>44562</v>
      </c>
      <c r="E8" s="29">
        <v>44562</v>
      </c>
      <c r="F8" s="6" t="s">
        <v>33</v>
      </c>
    </row>
    <row r="9" spans="1:6" x14ac:dyDescent="0.3">
      <c r="A9" s="13">
        <v>5</v>
      </c>
      <c r="B9" s="1" t="s">
        <v>49</v>
      </c>
      <c r="C9" s="1" t="s">
        <v>42</v>
      </c>
      <c r="D9" s="29">
        <v>44562</v>
      </c>
      <c r="E9" s="29">
        <v>44562</v>
      </c>
      <c r="F9" s="6" t="s">
        <v>33</v>
      </c>
    </row>
    <row r="10" spans="1:6" x14ac:dyDescent="0.3">
      <c r="A10" s="13">
        <v>6</v>
      </c>
      <c r="B10" s="1" t="s">
        <v>49</v>
      </c>
      <c r="C10" s="1" t="s">
        <v>43</v>
      </c>
      <c r="D10" s="29">
        <v>44562</v>
      </c>
      <c r="E10" s="29">
        <v>44562</v>
      </c>
      <c r="F10" s="6" t="s">
        <v>33</v>
      </c>
    </row>
    <row r="11" spans="1:6" x14ac:dyDescent="0.3">
      <c r="A11" s="13">
        <v>7</v>
      </c>
      <c r="B11" s="1" t="s">
        <v>49</v>
      </c>
      <c r="C11" s="1" t="s">
        <v>44</v>
      </c>
      <c r="D11" s="29">
        <v>44562</v>
      </c>
      <c r="E11" s="29">
        <v>44562</v>
      </c>
      <c r="F11" s="6" t="s">
        <v>33</v>
      </c>
    </row>
    <row r="12" spans="1:6" x14ac:dyDescent="0.3">
      <c r="A12" s="13">
        <v>8</v>
      </c>
      <c r="B12" s="1" t="s">
        <v>49</v>
      </c>
      <c r="C12" s="1" t="s">
        <v>45</v>
      </c>
      <c r="D12" s="29">
        <v>44562</v>
      </c>
      <c r="E12" s="29">
        <v>44562</v>
      </c>
      <c r="F12" s="6" t="s">
        <v>33</v>
      </c>
    </row>
    <row r="13" spans="1:6" x14ac:dyDescent="0.3">
      <c r="A13" s="13">
        <v>9</v>
      </c>
      <c r="B13" s="1" t="s">
        <v>49</v>
      </c>
      <c r="C13" s="1" t="s">
        <v>46</v>
      </c>
      <c r="D13" s="29">
        <v>44562</v>
      </c>
      <c r="E13" s="29">
        <v>44562</v>
      </c>
      <c r="F13" s="6" t="s">
        <v>33</v>
      </c>
    </row>
    <row r="14" spans="1:6" x14ac:dyDescent="0.3">
      <c r="A14" s="13">
        <v>10</v>
      </c>
      <c r="B14" s="1" t="s">
        <v>49</v>
      </c>
      <c r="C14" s="1" t="s">
        <v>47</v>
      </c>
      <c r="D14" s="29">
        <v>44562</v>
      </c>
      <c r="E14" s="29">
        <v>44562</v>
      </c>
      <c r="F14" s="6" t="s">
        <v>33</v>
      </c>
    </row>
    <row r="15" spans="1:6" x14ac:dyDescent="0.3">
      <c r="A15" s="13">
        <v>11</v>
      </c>
      <c r="B15" s="1" t="s">
        <v>49</v>
      </c>
      <c r="C15" s="1" t="s">
        <v>48</v>
      </c>
      <c r="D15" s="29">
        <v>44562</v>
      </c>
      <c r="E15" s="29">
        <v>44562</v>
      </c>
      <c r="F15" s="6" t="s">
        <v>33</v>
      </c>
    </row>
    <row r="16" spans="1:6" x14ac:dyDescent="0.3">
      <c r="A16" s="12">
        <v>1</v>
      </c>
      <c r="B16" s="1" t="s">
        <v>10</v>
      </c>
      <c r="C16" s="1" t="s">
        <v>36</v>
      </c>
      <c r="D16" s="29">
        <v>44562</v>
      </c>
      <c r="E16" s="29">
        <v>44896</v>
      </c>
      <c r="F16" s="6" t="s">
        <v>26</v>
      </c>
    </row>
  </sheetData>
  <dataValidations count="3">
    <dataValidation showInputMessage="1" showErrorMessage="1" errorTitle="Invalid Date Format" error="Date Format should be DD-MM-YYYY" promptTitle="Date Format should be DD-MM-YYYY" sqref="D1:E1" xr:uid="{E867DF36-99A9-4624-8E7B-80D60E5993D6}"/>
    <dataValidation type="textLength" operator="lessThanOrEqual" allowBlank="1" showInputMessage="1" showErrorMessage="1" errorTitle="Task Name Length Invalid" error="Task Name length should be &lt;= 36" promptTitle="Task Name length should be &lt;= 36" sqref="C1:C16" xr:uid="{8290CEB6-276E-41BB-A67B-C19CFFD90702}">
      <formula1>36</formula1>
    </dataValidation>
    <dataValidation type="date" showInputMessage="1" showErrorMessage="1" errorTitle="Invalid Date Format" error="Date Format should be DD-MM-YYYY" promptTitle="Date Format should be DD-MM-YYYY" sqref="D2:E16" xr:uid="{6A5181CF-EF2F-4AC2-B615-A8E9024679C5}">
      <formula1>44562</formula1>
      <formula2>2958101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52400-6F23-4E3D-921E-BEE83DB8C546}">
  <sheetPr codeName="Sheet1"/>
  <dimension ref="A1:P29"/>
  <sheetViews>
    <sheetView zoomScale="115" zoomScaleNormal="115" workbookViewId="0"/>
  </sheetViews>
  <sheetFormatPr defaultRowHeight="14.4" x14ac:dyDescent="0.3"/>
  <cols>
    <col min="1" max="1" width="20.109375" bestFit="1" customWidth="1"/>
    <col min="2" max="2" width="21.33203125" style="27" bestFit="1" customWidth="1"/>
    <col min="3" max="3" width="8" style="10" customWidth="1"/>
    <col min="4" max="5" width="9.88671875" customWidth="1"/>
    <col min="6" max="6" width="24.33203125" style="21" customWidth="1"/>
    <col min="7" max="8" width="9.88671875" customWidth="1"/>
    <col min="9" max="9" width="5.5546875" style="14" customWidth="1"/>
    <col min="10" max="10" width="9.21875" customWidth="1"/>
    <col min="11" max="11" width="27.21875" customWidth="1"/>
    <col min="12" max="12" width="9.88671875" style="7" bestFit="1" customWidth="1"/>
    <col min="13" max="13" width="9.33203125" style="7" bestFit="1" customWidth="1"/>
    <col min="14" max="14" width="12.6640625" style="7" bestFit="1" customWidth="1"/>
    <col min="15" max="15" width="11.88671875" customWidth="1"/>
  </cols>
  <sheetData>
    <row r="1" spans="1:16" s="17" customFormat="1" ht="28.8" x14ac:dyDescent="0.3">
      <c r="A1" s="15" t="s">
        <v>2</v>
      </c>
      <c r="B1" s="22"/>
      <c r="C1" s="16" t="s">
        <v>11</v>
      </c>
      <c r="D1" s="15"/>
      <c r="E1" s="16" t="s">
        <v>7</v>
      </c>
      <c r="F1" s="11" t="s">
        <v>16</v>
      </c>
      <c r="G1" s="15"/>
      <c r="H1" s="15"/>
      <c r="I1" s="2" t="s">
        <v>1</v>
      </c>
      <c r="J1" s="2" t="s">
        <v>0</v>
      </c>
      <c r="K1" s="2" t="s">
        <v>5</v>
      </c>
      <c r="L1" s="8" t="s">
        <v>31</v>
      </c>
      <c r="M1" s="8" t="s">
        <v>32</v>
      </c>
      <c r="N1" s="8" t="s">
        <v>30</v>
      </c>
      <c r="O1" s="9" t="s">
        <v>4</v>
      </c>
      <c r="P1" s="2" t="s">
        <v>7</v>
      </c>
    </row>
    <row r="2" spans="1:16" x14ac:dyDescent="0.3">
      <c r="A2" s="4" t="s">
        <v>6</v>
      </c>
      <c r="B2" s="23" t="s">
        <v>6</v>
      </c>
      <c r="C2" s="11" t="s">
        <v>12</v>
      </c>
      <c r="D2" s="18"/>
      <c r="E2" s="16" t="s">
        <v>17</v>
      </c>
      <c r="F2" s="22" t="s">
        <v>25</v>
      </c>
      <c r="G2" s="22"/>
      <c r="H2" s="18"/>
      <c r="I2" s="12">
        <v>1</v>
      </c>
      <c r="J2" s="1"/>
      <c r="K2" s="1"/>
      <c r="L2" s="6"/>
      <c r="M2" s="6"/>
      <c r="N2" s="6"/>
      <c r="O2" s="1" t="str">
        <f>IF(LEN(K2)=0,"",LEN(K2))</f>
        <v/>
      </c>
      <c r="P2" s="1"/>
    </row>
    <row r="3" spans="1:16" x14ac:dyDescent="0.3">
      <c r="A3" s="4" t="s">
        <v>9</v>
      </c>
      <c r="B3" s="24" t="s">
        <v>9</v>
      </c>
      <c r="C3" s="11" t="s">
        <v>13</v>
      </c>
      <c r="D3" s="5"/>
      <c r="E3" s="16" t="s">
        <v>15</v>
      </c>
      <c r="F3" s="22" t="s">
        <v>26</v>
      </c>
      <c r="G3" s="22"/>
      <c r="H3" s="5"/>
      <c r="I3" s="12">
        <v>2</v>
      </c>
      <c r="J3" s="1"/>
      <c r="K3" s="1"/>
      <c r="L3" s="6"/>
      <c r="M3" s="6"/>
      <c r="N3" s="6"/>
      <c r="O3" s="1" t="str">
        <f t="shared" ref="O3:O11" si="0">IF(LEN(K3)=0,"",LEN(K3))</f>
        <v/>
      </c>
      <c r="P3" s="1"/>
    </row>
    <row r="4" spans="1:16" x14ac:dyDescent="0.3">
      <c r="A4" s="4" t="s">
        <v>49</v>
      </c>
      <c r="B4" s="25" t="s">
        <v>49</v>
      </c>
      <c r="C4" s="11" t="s">
        <v>14</v>
      </c>
      <c r="D4" s="5"/>
      <c r="E4" s="16" t="s">
        <v>14</v>
      </c>
      <c r="F4" s="22" t="s">
        <v>33</v>
      </c>
      <c r="G4" s="22"/>
      <c r="H4" s="5"/>
      <c r="I4" s="12">
        <v>3</v>
      </c>
      <c r="J4" s="1"/>
      <c r="K4" s="1"/>
      <c r="L4" s="6"/>
      <c r="M4" s="6"/>
      <c r="N4" s="6"/>
      <c r="O4" s="1" t="str">
        <f t="shared" si="0"/>
        <v/>
      </c>
      <c r="P4" s="1"/>
    </row>
    <row r="5" spans="1:16" x14ac:dyDescent="0.3">
      <c r="A5" s="4" t="s">
        <v>8</v>
      </c>
      <c r="B5" s="25" t="s">
        <v>8</v>
      </c>
      <c r="C5" s="11" t="s">
        <v>13</v>
      </c>
      <c r="D5" s="5"/>
      <c r="E5" s="16" t="s">
        <v>13</v>
      </c>
      <c r="F5" s="22" t="s">
        <v>24</v>
      </c>
      <c r="G5" s="22"/>
      <c r="H5" s="5"/>
      <c r="I5" s="13">
        <v>4</v>
      </c>
      <c r="J5" s="1"/>
      <c r="K5" s="1"/>
      <c r="L5" s="6"/>
      <c r="M5" s="6"/>
      <c r="N5" s="6"/>
      <c r="O5" s="1" t="str">
        <f t="shared" si="0"/>
        <v/>
      </c>
      <c r="P5" s="1"/>
    </row>
    <row r="6" spans="1:16" x14ac:dyDescent="0.3">
      <c r="A6" s="4" t="s">
        <v>10</v>
      </c>
      <c r="B6" s="25" t="s">
        <v>10</v>
      </c>
      <c r="C6" s="11" t="s">
        <v>15</v>
      </c>
      <c r="D6" s="5"/>
      <c r="E6" s="16" t="s">
        <v>12</v>
      </c>
      <c r="F6" s="22" t="s">
        <v>27</v>
      </c>
      <c r="G6" s="22"/>
      <c r="H6" s="5"/>
      <c r="I6" s="13">
        <v>5</v>
      </c>
      <c r="J6" s="1"/>
      <c r="K6" s="1"/>
      <c r="L6" s="6"/>
      <c r="M6" s="6"/>
      <c r="N6" s="6"/>
      <c r="O6" s="1" t="str">
        <f t="shared" si="0"/>
        <v/>
      </c>
      <c r="P6" s="1"/>
    </row>
    <row r="7" spans="1:16" x14ac:dyDescent="0.3">
      <c r="A7" s="4"/>
      <c r="B7" s="25"/>
      <c r="C7" s="11"/>
      <c r="D7" s="5"/>
      <c r="E7" s="28" t="s">
        <v>28</v>
      </c>
      <c r="F7" s="22" t="s">
        <v>29</v>
      </c>
      <c r="G7" s="22"/>
      <c r="H7" s="5"/>
      <c r="I7" s="13">
        <v>6</v>
      </c>
      <c r="J7" s="1"/>
      <c r="K7" s="1"/>
      <c r="L7" s="6"/>
      <c r="M7" s="6"/>
      <c r="N7" s="6"/>
      <c r="O7" s="1" t="str">
        <f t="shared" si="0"/>
        <v/>
      </c>
      <c r="P7" s="1"/>
    </row>
    <row r="8" spans="1:16" x14ac:dyDescent="0.3">
      <c r="A8" s="4"/>
      <c r="B8" s="25"/>
      <c r="C8" s="11"/>
      <c r="D8" s="5"/>
      <c r="E8" s="16" t="s">
        <v>18</v>
      </c>
      <c r="F8" s="19"/>
      <c r="G8" s="22"/>
      <c r="H8" s="5"/>
      <c r="I8" s="13">
        <v>7</v>
      </c>
      <c r="J8" s="1"/>
      <c r="K8" s="1"/>
      <c r="L8" s="6"/>
      <c r="M8" s="6"/>
      <c r="N8" s="6"/>
      <c r="O8" s="1" t="str">
        <f t="shared" si="0"/>
        <v/>
      </c>
      <c r="P8" s="1"/>
    </row>
    <row r="9" spans="1:16" x14ac:dyDescent="0.3">
      <c r="A9" s="4"/>
      <c r="B9" s="25"/>
      <c r="C9" s="11"/>
      <c r="D9" s="5"/>
      <c r="E9" s="16" t="s">
        <v>19</v>
      </c>
      <c r="F9" s="19" t="s">
        <v>34</v>
      </c>
      <c r="G9" s="22"/>
      <c r="H9" s="5"/>
      <c r="I9" s="13">
        <v>8</v>
      </c>
      <c r="J9" s="1"/>
      <c r="K9" s="1"/>
      <c r="L9" s="6"/>
      <c r="M9" s="6"/>
      <c r="N9" s="6"/>
      <c r="O9" s="1" t="str">
        <f t="shared" si="0"/>
        <v/>
      </c>
      <c r="P9" s="1"/>
    </row>
    <row r="10" spans="1:16" x14ac:dyDescent="0.3">
      <c r="A10" s="4"/>
      <c r="B10" s="25"/>
      <c r="C10" s="11"/>
      <c r="D10" s="5"/>
      <c r="E10" s="16" t="s">
        <v>20</v>
      </c>
      <c r="F10" s="19" t="s">
        <v>34</v>
      </c>
      <c r="G10" s="22"/>
      <c r="H10" s="5"/>
      <c r="I10" s="13">
        <v>9</v>
      </c>
      <c r="J10" s="1"/>
      <c r="K10" s="1"/>
      <c r="L10" s="6"/>
      <c r="M10" s="6"/>
      <c r="N10" s="6"/>
      <c r="O10" s="1" t="str">
        <f t="shared" si="0"/>
        <v/>
      </c>
      <c r="P10" s="1"/>
    </row>
    <row r="11" spans="1:16" x14ac:dyDescent="0.3">
      <c r="A11" s="4"/>
      <c r="B11" s="25"/>
      <c r="C11" s="11"/>
      <c r="D11" s="5"/>
      <c r="E11" s="16" t="s">
        <v>21</v>
      </c>
      <c r="F11" s="19" t="s">
        <v>34</v>
      </c>
      <c r="G11" s="22"/>
      <c r="H11" s="5"/>
      <c r="I11" s="13">
        <v>10</v>
      </c>
      <c r="J11" s="1"/>
      <c r="K11" s="1"/>
      <c r="L11" s="6"/>
      <c r="M11" s="6"/>
      <c r="N11" s="6"/>
      <c r="O11" s="1" t="str">
        <f t="shared" si="0"/>
        <v/>
      </c>
      <c r="P11" s="1"/>
    </row>
    <row r="12" spans="1:16" x14ac:dyDescent="0.3">
      <c r="A12" s="4"/>
      <c r="B12" s="25"/>
      <c r="C12" s="11"/>
      <c r="D12" s="5"/>
      <c r="E12" s="16" t="s">
        <v>22</v>
      </c>
      <c r="F12" s="19" t="s">
        <v>34</v>
      </c>
      <c r="G12" s="22"/>
      <c r="H12" s="5"/>
      <c r="I12" s="13">
        <v>11</v>
      </c>
      <c r="J12" s="1"/>
      <c r="K12" s="1"/>
      <c r="L12" s="6"/>
      <c r="M12" s="6"/>
      <c r="N12" s="6"/>
      <c r="O12" s="1" t="str">
        <f t="shared" ref="O12:O26" si="1">IF(LEN(K12)=0,"",LEN(K12))</f>
        <v/>
      </c>
      <c r="P12" s="1"/>
    </row>
    <row r="13" spans="1:16" x14ac:dyDescent="0.3">
      <c r="A13" s="4"/>
      <c r="B13" s="25"/>
      <c r="C13" s="11"/>
      <c r="D13" s="5"/>
      <c r="E13" s="16" t="s">
        <v>23</v>
      </c>
      <c r="F13" s="19" t="s">
        <v>34</v>
      </c>
      <c r="G13" s="22"/>
      <c r="H13" s="5"/>
      <c r="I13" s="13"/>
      <c r="J13" s="1"/>
      <c r="K13" s="1"/>
      <c r="L13" s="6"/>
      <c r="M13" s="6"/>
      <c r="N13" s="6"/>
      <c r="O13" s="1" t="str">
        <f t="shared" si="1"/>
        <v/>
      </c>
      <c r="P13" s="1"/>
    </row>
    <row r="14" spans="1:16" x14ac:dyDescent="0.3">
      <c r="A14" s="4"/>
      <c r="B14" s="25"/>
      <c r="C14" s="11"/>
      <c r="D14" s="5"/>
      <c r="E14" s="5"/>
      <c r="F14" s="19"/>
      <c r="G14" s="5"/>
      <c r="H14" s="5"/>
      <c r="I14" s="13"/>
      <c r="J14" s="1"/>
      <c r="K14" s="1"/>
      <c r="L14" s="6"/>
      <c r="M14" s="6"/>
      <c r="N14" s="6"/>
      <c r="O14" s="1" t="str">
        <f t="shared" si="1"/>
        <v/>
      </c>
      <c r="P14" s="1"/>
    </row>
    <row r="15" spans="1:16" x14ac:dyDescent="0.3">
      <c r="A15" s="4"/>
      <c r="B15" s="26"/>
      <c r="C15" s="11"/>
      <c r="D15" s="3"/>
      <c r="E15" s="3"/>
      <c r="F15" s="20"/>
      <c r="G15" s="3"/>
      <c r="H15" s="3"/>
      <c r="I15" s="13"/>
      <c r="J15" s="1"/>
      <c r="K15" s="1"/>
      <c r="L15" s="6"/>
      <c r="M15" s="6"/>
      <c r="N15" s="6"/>
      <c r="O15" s="1" t="str">
        <f t="shared" si="1"/>
        <v/>
      </c>
      <c r="P15" s="1"/>
    </row>
    <row r="16" spans="1:16" x14ac:dyDescent="0.3">
      <c r="C16" s="11"/>
      <c r="I16" s="13"/>
      <c r="J16" s="1"/>
      <c r="K16" s="1"/>
      <c r="L16" s="6"/>
      <c r="M16" s="6"/>
      <c r="N16" s="6"/>
      <c r="O16" s="1" t="str">
        <f t="shared" si="1"/>
        <v/>
      </c>
      <c r="P16" s="1"/>
    </row>
    <row r="17" spans="3:16" x14ac:dyDescent="0.3">
      <c r="C17" s="11"/>
      <c r="I17" s="13"/>
      <c r="J17" s="1"/>
      <c r="K17" s="1"/>
      <c r="L17" s="6"/>
      <c r="M17" s="6"/>
      <c r="N17" s="6"/>
      <c r="O17" s="1" t="str">
        <f t="shared" si="1"/>
        <v/>
      </c>
      <c r="P17" s="1"/>
    </row>
    <row r="18" spans="3:16" x14ac:dyDescent="0.3">
      <c r="C18" s="11"/>
      <c r="I18" s="13"/>
      <c r="J18" s="1"/>
      <c r="K18" s="1"/>
      <c r="L18" s="6"/>
      <c r="M18" s="6"/>
      <c r="N18" s="6"/>
      <c r="O18" s="1" t="str">
        <f t="shared" si="1"/>
        <v/>
      </c>
      <c r="P18" s="1"/>
    </row>
    <row r="19" spans="3:16" x14ac:dyDescent="0.3">
      <c r="C19" s="11"/>
      <c r="I19" s="13"/>
      <c r="J19" s="1"/>
      <c r="K19" s="1"/>
      <c r="L19" s="6"/>
      <c r="M19" s="6"/>
      <c r="N19" s="6"/>
      <c r="O19" s="1" t="str">
        <f t="shared" si="1"/>
        <v/>
      </c>
      <c r="P19" s="1"/>
    </row>
    <row r="20" spans="3:16" x14ac:dyDescent="0.3">
      <c r="I20" s="13"/>
      <c r="J20" s="1"/>
      <c r="K20" s="1"/>
      <c r="L20" s="6"/>
      <c r="M20" s="6"/>
      <c r="N20" s="6"/>
      <c r="O20" s="1" t="str">
        <f t="shared" si="1"/>
        <v/>
      </c>
      <c r="P20" s="1"/>
    </row>
    <row r="21" spans="3:16" x14ac:dyDescent="0.3">
      <c r="I21" s="13"/>
      <c r="J21" s="1"/>
      <c r="K21" s="1"/>
      <c r="L21" s="6"/>
      <c r="M21" s="6"/>
      <c r="N21" s="6"/>
      <c r="O21" s="1" t="str">
        <f t="shared" si="1"/>
        <v/>
      </c>
      <c r="P21" s="1"/>
    </row>
    <row r="22" spans="3:16" x14ac:dyDescent="0.3">
      <c r="I22" s="13"/>
      <c r="J22" s="1"/>
      <c r="K22" s="1"/>
      <c r="L22" s="6"/>
      <c r="M22" s="6"/>
      <c r="N22" s="6"/>
      <c r="O22" s="1" t="str">
        <f t="shared" si="1"/>
        <v/>
      </c>
      <c r="P22" s="1"/>
    </row>
    <row r="23" spans="3:16" x14ac:dyDescent="0.3">
      <c r="I23" s="13"/>
      <c r="J23" s="1"/>
      <c r="K23" s="1"/>
      <c r="L23" s="6"/>
      <c r="M23" s="6"/>
      <c r="N23" s="6"/>
      <c r="O23" s="1" t="str">
        <f t="shared" si="1"/>
        <v/>
      </c>
      <c r="P23" s="1"/>
    </row>
    <row r="24" spans="3:16" x14ac:dyDescent="0.3">
      <c r="I24" s="13"/>
      <c r="J24" s="1"/>
      <c r="K24" s="1"/>
      <c r="L24" s="6"/>
      <c r="M24" s="6"/>
      <c r="N24" s="6"/>
      <c r="O24" s="1" t="str">
        <f t="shared" si="1"/>
        <v/>
      </c>
      <c r="P24" s="1"/>
    </row>
    <row r="25" spans="3:16" x14ac:dyDescent="0.3">
      <c r="I25" s="13"/>
      <c r="J25" s="1"/>
      <c r="K25" s="1"/>
      <c r="L25" s="6"/>
      <c r="M25" s="6"/>
      <c r="N25" s="6"/>
      <c r="O25" s="1" t="str">
        <f t="shared" si="1"/>
        <v/>
      </c>
      <c r="P25" s="1"/>
    </row>
    <row r="26" spans="3:16" x14ac:dyDescent="0.3">
      <c r="I26" s="13"/>
      <c r="J26" s="1"/>
      <c r="K26" s="1"/>
      <c r="L26" s="6"/>
      <c r="M26" s="6"/>
      <c r="N26" s="6"/>
      <c r="O26" s="1" t="str">
        <f t="shared" si="1"/>
        <v/>
      </c>
      <c r="P26" s="1"/>
    </row>
    <row r="27" spans="3:16" x14ac:dyDescent="0.3">
      <c r="I27" s="13"/>
      <c r="J27" s="1"/>
      <c r="K27" s="1"/>
      <c r="L27" s="6"/>
      <c r="M27" s="6"/>
      <c r="N27" s="6"/>
      <c r="O27" s="1"/>
      <c r="P27" s="1"/>
    </row>
    <row r="28" spans="3:16" x14ac:dyDescent="0.3">
      <c r="I28" s="13"/>
      <c r="J28" s="1"/>
      <c r="K28" s="1"/>
      <c r="L28" s="6"/>
      <c r="M28" s="6"/>
      <c r="N28" s="6"/>
      <c r="O28" s="1"/>
      <c r="P28" s="1"/>
    </row>
    <row r="29" spans="3:16" x14ac:dyDescent="0.3">
      <c r="I29" s="13"/>
      <c r="J29" s="1"/>
      <c r="K29" s="1"/>
      <c r="L29" s="6"/>
      <c r="M29" s="6"/>
      <c r="N29" s="6"/>
      <c r="O29" s="1"/>
      <c r="P29" s="1"/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K1:K1048576" xr:uid="{A943ADA1-40BA-4FE6-B189-0BDC200A3477}">
      <formula1>36</formula1>
    </dataValidation>
    <dataValidation type="date" showInputMessage="1" showErrorMessage="1" errorTitle="Invalid Date Format" error="Date Format should be DD-MM-YYYY" promptTitle="Date Format should be DD-MM-YYYY" sqref="L2:M1048576" xr:uid="{F72022C8-CF12-4433-95B3-FD930A755573}">
      <formula1>44562</formula1>
      <formula2>2958101</formula2>
    </dataValidation>
    <dataValidation showInputMessage="1" showErrorMessage="1" errorTitle="Invalid Date Format" error="Date Format should be DD-MM-YYYY" promptTitle="Date Format should be DD-MM-YYYY" sqref="L1:M1" xr:uid="{34BA5E00-69FC-4F7C-ACD7-2BE7F66D5C8F}"/>
  </dataValidations>
  <hyperlinks>
    <hyperlink ref="A1" location="Index!A1" display="INDEX" xr:uid="{D0270316-DBDA-41EB-B34D-DA100422AFFA}"/>
    <hyperlink ref="B2" location="'Sumant Nandanwadkar'!A1" tooltip="Go to Sumant Nandanwadkar" display="Sumant Nandanwadkar" xr:uid="{C3E931DC-5019-4129-A9E0-E04791562C28}"/>
    <hyperlink ref="B3" location="'Nikhil Joshi'!A1" tooltip="Go to Nikhil Joshi" display="Nikhil Joshi" xr:uid="{BD1C3B02-4A55-47FD-9D77-D09D7F97C253}"/>
    <hyperlink ref="B4" location="'Nikhil Dhepe'!A1" tooltip="Go to Nikhil Dhepe" display="Nikhil Dhepe" xr:uid="{C0D27112-1D13-4902-9942-E44D28EF4E02}"/>
    <hyperlink ref="B5" location="'Supriya Kshirsagar Joshi'!A1" tooltip="Go to Supriya Kshirsagar Joshi" display="Supriya Kshirsagar Joshi" xr:uid="{F9FAD63E-D10B-4E69-8485-B9A9A8681EAA}"/>
    <hyperlink ref="B6" location="'Purva Ghag'!A1" tooltip="Go to Purva Ghag" display="Purva Ghag" xr:uid="{C1780042-91CF-41DF-8D71-D8A03D27CB86}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DeleteAllSheetsExceptSpecified">
                <anchor moveWithCells="1" sizeWithCells="1">
                  <from>
                    <xdr:col>0</xdr:col>
                    <xdr:colOff>68580</xdr:colOff>
                    <xdr:row>10</xdr:row>
                    <xdr:rowOff>175260</xdr:rowOff>
                  </from>
                  <to>
                    <xdr:col>1</xdr:col>
                    <xdr:colOff>358140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imesheetTasksCollection2">
                <anchor moveWithCells="1" sizeWithCells="1">
                  <from>
                    <xdr:col>0</xdr:col>
                    <xdr:colOff>60960</xdr:colOff>
                    <xdr:row>13</xdr:row>
                    <xdr:rowOff>0</xdr:rowOff>
                  </from>
                  <to>
                    <xdr:col>1</xdr:col>
                    <xdr:colOff>381000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erge_Sheets">
                <anchor moveWithCells="1" sizeWithCells="1">
                  <from>
                    <xdr:col>0</xdr:col>
                    <xdr:colOff>45720</xdr:colOff>
                    <xdr:row>15</xdr:row>
                    <xdr:rowOff>7620</xdr:rowOff>
                  </from>
                  <to>
                    <xdr:col>1</xdr:col>
                    <xdr:colOff>396240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OnlyMasterSheet">
                <anchor moveWithCells="1" sizeWithCells="1">
                  <from>
                    <xdr:col>0</xdr:col>
                    <xdr:colOff>45720</xdr:colOff>
                    <xdr:row>18</xdr:row>
                    <xdr:rowOff>0</xdr:rowOff>
                  </from>
                  <to>
                    <xdr:col>1</xdr:col>
                    <xdr:colOff>403860</xdr:colOff>
                    <xdr:row>19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utton5_Click">
                <anchor moveWithCells="1" sizeWithCells="1">
                  <from>
                    <xdr:col>0</xdr:col>
                    <xdr:colOff>335280</xdr:colOff>
                    <xdr:row>20</xdr:row>
                    <xdr:rowOff>45720</xdr:rowOff>
                  </from>
                  <to>
                    <xdr:col>1</xdr:col>
                    <xdr:colOff>144780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51BC2-8911-4F85-8F8D-579BA2B5487C}">
  <sheetPr codeName="Sheet318"/>
  <dimension ref="A1:I12"/>
  <sheetViews>
    <sheetView workbookViewId="0">
      <selection activeCell="D2" sqref="D2:F3"/>
    </sheetView>
  </sheetViews>
  <sheetFormatPr defaultRowHeight="14.4" x14ac:dyDescent="0.3"/>
  <cols>
    <col min="2" max="2" width="3.44140625" bestFit="1" customWidth="1"/>
    <col min="3" max="3" width="21.21875" bestFit="1" customWidth="1"/>
    <col min="4" max="4" width="18.5546875" bestFit="1" customWidth="1"/>
    <col min="5" max="5" width="10.33203125" bestFit="1" customWidth="1"/>
    <col min="6" max="6" width="9.88671875" bestFit="1" customWidth="1"/>
    <col min="7" max="7" width="47.77734375" bestFit="1" customWidth="1"/>
    <col min="8" max="8" width="11.6640625" bestFit="1" customWidth="1"/>
  </cols>
  <sheetData>
    <row r="1" spans="1:9" ht="28.8" x14ac:dyDescent="0.3">
      <c r="A1" s="3" t="s">
        <v>3</v>
      </c>
      <c r="B1" s="2" t="s">
        <v>1</v>
      </c>
      <c r="C1" s="2" t="s">
        <v>0</v>
      </c>
      <c r="D1" s="2" t="s">
        <v>5</v>
      </c>
      <c r="E1" s="8" t="s">
        <v>31</v>
      </c>
      <c r="F1" s="8" t="s">
        <v>32</v>
      </c>
      <c r="G1" s="8" t="s">
        <v>30</v>
      </c>
      <c r="H1" s="9" t="s">
        <v>4</v>
      </c>
      <c r="I1" s="2" t="s">
        <v>7</v>
      </c>
    </row>
    <row r="2" spans="1:9" x14ac:dyDescent="0.3">
      <c r="B2" s="12">
        <v>1</v>
      </c>
      <c r="C2" s="1" t="s">
        <v>6</v>
      </c>
      <c r="D2" s="1" t="s">
        <v>35</v>
      </c>
      <c r="E2" s="29">
        <v>44562</v>
      </c>
      <c r="F2" s="29">
        <v>44896</v>
      </c>
      <c r="G2" s="6" t="str">
        <f>VLOOKUP(I2,Index!$E:$F,2,0)</f>
        <v>GSDRS/SDCO/GSC\SPM03-Senior Consultant - Testing</v>
      </c>
      <c r="H2" s="1">
        <f>IF(LEN(D2)=0,"",LEN(D2))</f>
        <v>7</v>
      </c>
      <c r="I2" s="1" t="str">
        <f>VLOOKUP(C2,Index!$A:$C,3,0)</f>
        <v>5T</v>
      </c>
    </row>
    <row r="3" spans="1:9" x14ac:dyDescent="0.3">
      <c r="B3" s="12">
        <v>2</v>
      </c>
      <c r="C3" s="1" t="s">
        <v>6</v>
      </c>
      <c r="D3" s="1" t="s">
        <v>38</v>
      </c>
      <c r="E3" s="29">
        <v>44562</v>
      </c>
      <c r="F3" s="29">
        <v>44896</v>
      </c>
      <c r="G3" s="6" t="str">
        <f>VLOOKUP(I3,Index!$E:$F,2,0)</f>
        <v>GSDRS/SDCO/GSC\SPM03-Senior Consultant - Testing</v>
      </c>
      <c r="H3" s="1">
        <f t="shared" ref="H3:H12" si="0">IF(LEN(D3)=0,"",LEN(D3))</f>
        <v>10</v>
      </c>
      <c r="I3" s="1" t="str">
        <f>VLOOKUP(C3,Index!$A:$C,3,0)</f>
        <v>5T</v>
      </c>
    </row>
    <row r="4" spans="1:9" x14ac:dyDescent="0.3">
      <c r="B4" s="12">
        <v>3</v>
      </c>
      <c r="C4" s="1" t="s">
        <v>6</v>
      </c>
      <c r="D4" s="1"/>
      <c r="E4" s="6"/>
      <c r="F4" s="6"/>
      <c r="G4" s="6" t="str">
        <f>VLOOKUP(I4,Index!$E:$F,2,0)</f>
        <v>GSDRS/SDCO/GSC\SPM03-Senior Consultant - Testing</v>
      </c>
      <c r="H4" s="1" t="str">
        <f t="shared" si="0"/>
        <v/>
      </c>
      <c r="I4" s="1" t="str">
        <f>VLOOKUP(C4,Index!$A:$C,3,0)</f>
        <v>5T</v>
      </c>
    </row>
    <row r="5" spans="1:9" x14ac:dyDescent="0.3">
      <c r="B5" s="13">
        <v>4</v>
      </c>
      <c r="C5" s="1" t="s">
        <v>6</v>
      </c>
      <c r="D5" s="1"/>
      <c r="E5" s="6"/>
      <c r="F5" s="6"/>
      <c r="G5" s="6" t="str">
        <f>VLOOKUP(I5,Index!$E:$F,2,0)</f>
        <v>GSDRS/SDCO/GSC\SPM03-Senior Consultant - Testing</v>
      </c>
      <c r="H5" s="1" t="str">
        <f t="shared" si="0"/>
        <v/>
      </c>
      <c r="I5" s="1" t="str">
        <f>VLOOKUP(C5,Index!$A:$C,3,0)</f>
        <v>5T</v>
      </c>
    </row>
    <row r="6" spans="1:9" x14ac:dyDescent="0.3">
      <c r="B6" s="13">
        <v>5</v>
      </c>
      <c r="C6" s="1" t="s">
        <v>6</v>
      </c>
      <c r="D6" s="1"/>
      <c r="E6" s="6"/>
      <c r="F6" s="6"/>
      <c r="G6" s="6" t="str">
        <f>VLOOKUP(I6,Index!$E:$F,2,0)</f>
        <v>GSDRS/SDCO/GSC\SPM03-Senior Consultant - Testing</v>
      </c>
      <c r="H6" s="1" t="str">
        <f t="shared" si="0"/>
        <v/>
      </c>
      <c r="I6" s="1" t="str">
        <f>VLOOKUP(C6,Index!$A:$C,3,0)</f>
        <v>5T</v>
      </c>
    </row>
    <row r="7" spans="1:9" x14ac:dyDescent="0.3">
      <c r="B7" s="13">
        <v>6</v>
      </c>
      <c r="C7" s="1" t="s">
        <v>6</v>
      </c>
      <c r="D7" s="1"/>
      <c r="E7" s="6"/>
      <c r="F7" s="6"/>
      <c r="G7" s="6" t="str">
        <f>VLOOKUP(I7,Index!$E:$F,2,0)</f>
        <v>GSDRS/SDCO/GSC\SPM03-Senior Consultant - Testing</v>
      </c>
      <c r="H7" s="1" t="str">
        <f t="shared" si="0"/>
        <v/>
      </c>
      <c r="I7" s="1" t="str">
        <f>VLOOKUP(C7,Index!$A:$C,3,0)</f>
        <v>5T</v>
      </c>
    </row>
    <row r="8" spans="1:9" x14ac:dyDescent="0.3">
      <c r="B8" s="13">
        <v>7</v>
      </c>
      <c r="C8" s="1" t="s">
        <v>6</v>
      </c>
      <c r="D8" s="1"/>
      <c r="E8" s="6"/>
      <c r="F8" s="6"/>
      <c r="G8" s="6" t="str">
        <f>VLOOKUP(I8,Index!$E:$F,2,0)</f>
        <v>GSDRS/SDCO/GSC\SPM03-Senior Consultant - Testing</v>
      </c>
      <c r="H8" s="1" t="str">
        <f t="shared" si="0"/>
        <v/>
      </c>
      <c r="I8" s="1" t="str">
        <f>VLOOKUP(C8,Index!$A:$C,3,0)</f>
        <v>5T</v>
      </c>
    </row>
    <row r="9" spans="1:9" x14ac:dyDescent="0.3">
      <c r="B9" s="13">
        <v>8</v>
      </c>
      <c r="C9" s="1" t="s">
        <v>6</v>
      </c>
      <c r="D9" s="1"/>
      <c r="E9" s="6"/>
      <c r="F9" s="6"/>
      <c r="G9" s="6" t="str">
        <f>VLOOKUP(I9,Index!$E:$F,2,0)</f>
        <v>GSDRS/SDCO/GSC\SPM03-Senior Consultant - Testing</v>
      </c>
      <c r="H9" s="1" t="str">
        <f t="shared" si="0"/>
        <v/>
      </c>
      <c r="I9" s="1" t="str">
        <f>VLOOKUP(C9,Index!$A:$C,3,0)</f>
        <v>5T</v>
      </c>
    </row>
    <row r="10" spans="1:9" x14ac:dyDescent="0.3">
      <c r="B10" s="13">
        <v>9</v>
      </c>
      <c r="C10" s="1" t="s">
        <v>6</v>
      </c>
      <c r="D10" s="1"/>
      <c r="E10" s="6"/>
      <c r="F10" s="6"/>
      <c r="G10" s="6" t="str">
        <f>VLOOKUP(I10,Index!$E:$F,2,0)</f>
        <v>GSDRS/SDCO/GSC\SPM03-Senior Consultant - Testing</v>
      </c>
      <c r="H10" s="1" t="str">
        <f t="shared" si="0"/>
        <v/>
      </c>
      <c r="I10" s="1" t="str">
        <f>VLOOKUP(C10,Index!$A:$C,3,0)</f>
        <v>5T</v>
      </c>
    </row>
    <row r="11" spans="1:9" x14ac:dyDescent="0.3">
      <c r="B11" s="13">
        <v>10</v>
      </c>
      <c r="C11" s="1" t="s">
        <v>6</v>
      </c>
      <c r="D11" s="1"/>
      <c r="E11" s="6"/>
      <c r="F11" s="6"/>
      <c r="G11" s="6" t="str">
        <f>VLOOKUP(I11,Index!$E:$F,2,0)</f>
        <v>GSDRS/SDCO/GSC\SPM03-Senior Consultant - Testing</v>
      </c>
      <c r="H11" s="1" t="str">
        <f t="shared" si="0"/>
        <v/>
      </c>
      <c r="I11" s="1" t="str">
        <f>VLOOKUP(C11,Index!$A:$C,3,0)</f>
        <v>5T</v>
      </c>
    </row>
    <row r="12" spans="1:9" x14ac:dyDescent="0.3">
      <c r="B12" s="13">
        <v>11</v>
      </c>
      <c r="C12" s="1" t="s">
        <v>6</v>
      </c>
      <c r="D12" s="1"/>
      <c r="E12" s="6"/>
      <c r="F12" s="6"/>
      <c r="G12" s="6" t="str">
        <f>VLOOKUP(I12,Index!$E:$F,2,0)</f>
        <v>GSDRS/SDCO/GSC\SPM03-Senior Consultant - Testing</v>
      </c>
      <c r="H12" s="1" t="str">
        <f t="shared" si="0"/>
        <v/>
      </c>
      <c r="I12" s="1" t="str">
        <f>VLOOKUP(C12,Index!$A:$C,3,0)</f>
        <v>5T</v>
      </c>
    </row>
  </sheetData>
  <dataValidations count="3">
    <dataValidation showInputMessage="1" showErrorMessage="1" errorTitle="Invalid Date Format" error="Date Format should be DD-MM-YYYY" promptTitle="Date Format should be DD-MM-YYYY" sqref="E1:F1" xr:uid="{31F74233-7185-4883-AFD9-4573231DEA52}"/>
    <dataValidation type="date" showInputMessage="1" showErrorMessage="1" errorTitle="Invalid Date Format" error="Date Format should be DD-MM-YYYY" promptTitle="Date Format should be DD-MM-YYYY" sqref="E2:F12" xr:uid="{F0A441DD-64AC-4294-81AE-741A4D2A94B7}">
      <formula1>44562</formula1>
      <formula2>2958101</formula2>
    </dataValidation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1E533677-7E1C-41B2-8391-DCDE2836BAAA}">
      <formula1>36</formula1>
    </dataValidation>
  </dataValidations>
  <hyperlinks>
    <hyperlink ref="A1" location="'Index'!A1" tooltip="Return to Index" display="Index" xr:uid="{FF2865EE-5C24-49A4-A027-C7BA33251D94}"/>
  </hyperlink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675D5-F9C6-4B01-9738-FE0910A03BB9}">
  <sheetPr codeName="Sheet317"/>
  <dimension ref="A1:I12"/>
  <sheetViews>
    <sheetView workbookViewId="0">
      <selection activeCell="D3" sqref="D3"/>
    </sheetView>
  </sheetViews>
  <sheetFormatPr defaultRowHeight="14.4" x14ac:dyDescent="0.3"/>
  <cols>
    <col min="2" max="2" width="3.44140625" bestFit="1" customWidth="1"/>
    <col min="3" max="3" width="10.77734375" bestFit="1" customWidth="1"/>
    <col min="4" max="4" width="18.5546875" bestFit="1" customWidth="1"/>
    <col min="5" max="6" width="9.88671875" bestFit="1" customWidth="1"/>
    <col min="7" max="7" width="41.6640625" bestFit="1" customWidth="1"/>
    <col min="8" max="8" width="11.6640625" bestFit="1" customWidth="1"/>
  </cols>
  <sheetData>
    <row r="1" spans="1:9" ht="28.8" x14ac:dyDescent="0.3">
      <c r="A1" s="3" t="s">
        <v>3</v>
      </c>
      <c r="B1" s="2" t="s">
        <v>1</v>
      </c>
      <c r="C1" s="2" t="s">
        <v>0</v>
      </c>
      <c r="D1" s="2" t="s">
        <v>5</v>
      </c>
      <c r="E1" s="8" t="s">
        <v>31</v>
      </c>
      <c r="F1" s="8" t="s">
        <v>32</v>
      </c>
      <c r="G1" s="8" t="s">
        <v>30</v>
      </c>
      <c r="H1" s="9" t="s">
        <v>4</v>
      </c>
      <c r="I1" s="2" t="s">
        <v>7</v>
      </c>
    </row>
    <row r="2" spans="1:9" x14ac:dyDescent="0.3">
      <c r="B2" s="12">
        <v>1</v>
      </c>
      <c r="C2" s="1" t="s">
        <v>9</v>
      </c>
      <c r="D2" s="1" t="s">
        <v>37</v>
      </c>
      <c r="E2" s="29">
        <v>44652</v>
      </c>
      <c r="F2" s="29">
        <v>44896</v>
      </c>
      <c r="G2" s="6" t="str">
        <f>VLOOKUP(I2,Index!$E:$F,2,0)</f>
        <v>GSDRS/SDCO/GSC\SPM03-Consultant - Testing</v>
      </c>
      <c r="H2" s="1">
        <f>IF(LEN(D2)=0,"",LEN(D2))</f>
        <v>9</v>
      </c>
      <c r="I2" s="1" t="str">
        <f>VLOOKUP(C2,Index!$A:$C,3,0)</f>
        <v>4T</v>
      </c>
    </row>
    <row r="3" spans="1:9" x14ac:dyDescent="0.3">
      <c r="B3" s="12">
        <v>2</v>
      </c>
      <c r="C3" s="1" t="s">
        <v>9</v>
      </c>
      <c r="D3" s="1"/>
      <c r="E3" s="6"/>
      <c r="F3" s="6"/>
      <c r="G3" s="6" t="str">
        <f>VLOOKUP(I3,Index!$E:$F,2,0)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12">
        <v>3</v>
      </c>
      <c r="C4" s="1" t="s">
        <v>9</v>
      </c>
      <c r="D4" s="1"/>
      <c r="E4" s="6"/>
      <c r="F4" s="6"/>
      <c r="G4" s="6" t="str">
        <f>VLOOKUP(I4,Index!$E:$F,2,0)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3">
        <v>4</v>
      </c>
      <c r="C5" s="1" t="s">
        <v>9</v>
      </c>
      <c r="D5" s="1"/>
      <c r="E5" s="6"/>
      <c r="F5" s="6"/>
      <c r="G5" s="6" t="str">
        <f>VLOOKUP(I5,Index!$E:$F,2,0)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3">
        <v>5</v>
      </c>
      <c r="C6" s="1" t="s">
        <v>9</v>
      </c>
      <c r="D6" s="1"/>
      <c r="E6" s="6"/>
      <c r="F6" s="6"/>
      <c r="G6" s="6" t="str">
        <f>VLOOKUP(I6,Index!$E:$F,2,0)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3">
        <v>6</v>
      </c>
      <c r="C7" s="1" t="s">
        <v>9</v>
      </c>
      <c r="D7" s="1"/>
      <c r="E7" s="6"/>
      <c r="F7" s="6"/>
      <c r="G7" s="6" t="str">
        <f>VLOOKUP(I7,Index!$E:$F,2,0)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3">
        <v>7</v>
      </c>
      <c r="C8" s="1" t="s">
        <v>9</v>
      </c>
      <c r="D8" s="1"/>
      <c r="E8" s="6"/>
      <c r="F8" s="6"/>
      <c r="G8" s="6" t="str">
        <f>VLOOKUP(I8,Index!$E:$F,2,0)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3">
        <v>8</v>
      </c>
      <c r="C9" s="1" t="s">
        <v>9</v>
      </c>
      <c r="D9" s="1"/>
      <c r="E9" s="6"/>
      <c r="F9" s="6"/>
      <c r="G9" s="6" t="str">
        <f>VLOOKUP(I9,Index!$E:$F,2,0)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3">
        <v>9</v>
      </c>
      <c r="C10" s="1" t="s">
        <v>9</v>
      </c>
      <c r="D10" s="1"/>
      <c r="E10" s="6"/>
      <c r="F10" s="6"/>
      <c r="G10" s="6" t="str">
        <f>VLOOKUP(I10,Index!$E:$F,2,0)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3">
        <v>10</v>
      </c>
      <c r="C11" s="1" t="s">
        <v>9</v>
      </c>
      <c r="D11" s="1"/>
      <c r="E11" s="6"/>
      <c r="F11" s="6"/>
      <c r="G11" s="6" t="str">
        <f>VLOOKUP(I11,Index!$E:$F,2,0)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3">
        <v>11</v>
      </c>
      <c r="C12" s="1" t="s">
        <v>9</v>
      </c>
      <c r="D12" s="1"/>
      <c r="E12" s="6"/>
      <c r="F12" s="6"/>
      <c r="G12" s="6" t="str">
        <f>VLOOKUP(I12,Index!$E:$F,2,0)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showInputMessage="1" showErrorMessage="1" errorTitle="Invalid Date Format" error="Date Format should be DD-MM-YYYY" promptTitle="Date Format should be DD-MM-YYYY" sqref="E1:F1" xr:uid="{29FC6DF2-1759-48BE-B041-859FC2DC8F5D}"/>
    <dataValidation type="date" showInputMessage="1" showErrorMessage="1" errorTitle="Invalid Date Format" error="Date Format should be DD-MM-YYYY" promptTitle="Date Format should be DD-MM-YYYY" sqref="E2:F12" xr:uid="{6D6186EE-E3CF-4B60-83B7-F9EDEA43C82E}">
      <formula1>44562</formula1>
      <formula2>2958101</formula2>
    </dataValidation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CEC6B242-10B7-4B76-9850-371F4E2745A6}">
      <formula1>36</formula1>
    </dataValidation>
  </dataValidations>
  <hyperlinks>
    <hyperlink ref="A1" location="'Index'!A1" tooltip="Return to Index" display="Index" xr:uid="{A8DA4524-C5D0-4753-9CA0-48D16CD9A56F}"/>
  </hyperlink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3BCB-A96E-4904-9B6D-AF582890A0C3}">
  <sheetPr codeName="Sheet316"/>
  <dimension ref="A1:I12"/>
  <sheetViews>
    <sheetView workbookViewId="0">
      <selection activeCell="F20" sqref="F20"/>
    </sheetView>
  </sheetViews>
  <sheetFormatPr defaultRowHeight="14.4" x14ac:dyDescent="0.3"/>
  <cols>
    <col min="2" max="2" width="3.44140625" bestFit="1" customWidth="1"/>
    <col min="3" max="3" width="12.21875" bestFit="1" customWidth="1"/>
    <col min="4" max="4" width="18.5546875" bestFit="1" customWidth="1"/>
    <col min="5" max="6" width="9.88671875" bestFit="1" customWidth="1"/>
    <col min="7" max="7" width="50.5546875" bestFit="1" customWidth="1"/>
    <col min="8" max="8" width="11.6640625" bestFit="1" customWidth="1"/>
  </cols>
  <sheetData>
    <row r="1" spans="1:9" ht="28.8" x14ac:dyDescent="0.3">
      <c r="A1" s="3" t="s">
        <v>3</v>
      </c>
      <c r="B1" s="2" t="s">
        <v>1</v>
      </c>
      <c r="C1" s="2" t="s">
        <v>0</v>
      </c>
      <c r="D1" s="2" t="s">
        <v>5</v>
      </c>
      <c r="E1" s="8" t="s">
        <v>31</v>
      </c>
      <c r="F1" s="8" t="s">
        <v>32</v>
      </c>
      <c r="G1" s="8" t="s">
        <v>30</v>
      </c>
      <c r="H1" s="9" t="s">
        <v>4</v>
      </c>
      <c r="I1" s="2" t="s">
        <v>7</v>
      </c>
    </row>
    <row r="2" spans="1:9" x14ac:dyDescent="0.3">
      <c r="B2" s="12">
        <v>1</v>
      </c>
      <c r="C2" s="1" t="s">
        <v>49</v>
      </c>
      <c r="D2" s="1" t="s">
        <v>37</v>
      </c>
      <c r="E2" s="29">
        <v>44652</v>
      </c>
      <c r="F2" s="29">
        <v>44896</v>
      </c>
      <c r="G2" s="6" t="str">
        <f>VLOOKUP(I2,Index!$E:$F,2,0)</f>
        <v>GSDRS/SDCO/GSC\SPM03-Asscociate Consultant-Testing</v>
      </c>
      <c r="H2" s="1">
        <f>IF(LEN(D2)=0,"",LEN(D2))</f>
        <v>9</v>
      </c>
      <c r="I2" s="1" t="str">
        <f>VLOOKUP(C2,Index!$A:$C,3,0)</f>
        <v>3T</v>
      </c>
    </row>
    <row r="3" spans="1:9" x14ac:dyDescent="0.3">
      <c r="B3" s="12">
        <v>2</v>
      </c>
      <c r="C3" s="1" t="s">
        <v>49</v>
      </c>
      <c r="D3" s="1" t="s">
        <v>39</v>
      </c>
      <c r="E3" s="29">
        <v>44562</v>
      </c>
      <c r="F3" s="29">
        <v>44562</v>
      </c>
      <c r="G3" s="6" t="str">
        <f>VLOOKUP(I3,Index!$E:$F,2,0)</f>
        <v>GSDRS/SDCO/GSC\SPM03-Asscociate Consultant-Testing</v>
      </c>
      <c r="H3" s="1">
        <f t="shared" ref="H3:H12" si="0">IF(LEN(D3)=0,"",LEN(D3))</f>
        <v>7</v>
      </c>
      <c r="I3" s="1" t="str">
        <f>VLOOKUP(C3,Index!$A:$C,3,0)</f>
        <v>3T</v>
      </c>
    </row>
    <row r="4" spans="1:9" x14ac:dyDescent="0.3">
      <c r="B4" s="12">
        <v>3</v>
      </c>
      <c r="C4" s="1" t="s">
        <v>49</v>
      </c>
      <c r="D4" s="1" t="s">
        <v>40</v>
      </c>
      <c r="E4" s="29">
        <v>44562</v>
      </c>
      <c r="F4" s="29">
        <v>44562</v>
      </c>
      <c r="G4" s="6" t="str">
        <f>VLOOKUP(I4,Index!$E:$F,2,0)</f>
        <v>GSDRS/SDCO/GSC\SPM03-Asscociate Consultant-Testing</v>
      </c>
      <c r="H4" s="1">
        <f t="shared" si="0"/>
        <v>8</v>
      </c>
      <c r="I4" s="1" t="str">
        <f>VLOOKUP(C4,Index!$A:$C,3,0)</f>
        <v>3T</v>
      </c>
    </row>
    <row r="5" spans="1:9" x14ac:dyDescent="0.3">
      <c r="B5" s="13">
        <v>4</v>
      </c>
      <c r="C5" s="1" t="s">
        <v>49</v>
      </c>
      <c r="D5" s="1" t="s">
        <v>41</v>
      </c>
      <c r="E5" s="29">
        <v>44562</v>
      </c>
      <c r="F5" s="29">
        <v>44562</v>
      </c>
      <c r="G5" s="6" t="str">
        <f>VLOOKUP(I5,Index!$E:$F,2,0)</f>
        <v>GSDRS/SDCO/GSC\SPM03-Asscociate Consultant-Testing</v>
      </c>
      <c r="H5" s="1">
        <f t="shared" si="0"/>
        <v>8</v>
      </c>
      <c r="I5" s="1" t="str">
        <f>VLOOKUP(C5,Index!$A:$C,3,0)</f>
        <v>3T</v>
      </c>
    </row>
    <row r="6" spans="1:9" x14ac:dyDescent="0.3">
      <c r="B6" s="13">
        <v>5</v>
      </c>
      <c r="C6" s="1" t="s">
        <v>49</v>
      </c>
      <c r="D6" s="1" t="s">
        <v>42</v>
      </c>
      <c r="E6" s="29">
        <v>44562</v>
      </c>
      <c r="F6" s="29">
        <v>44562</v>
      </c>
      <c r="G6" s="6" t="str">
        <f>VLOOKUP(I6,Index!$E:$F,2,0)</f>
        <v>GSDRS/SDCO/GSC\SPM03-Asscociate Consultant-Testing</v>
      </c>
      <c r="H6" s="1">
        <f t="shared" si="0"/>
        <v>8</v>
      </c>
      <c r="I6" s="1" t="str">
        <f>VLOOKUP(C6,Index!$A:$C,3,0)</f>
        <v>3T</v>
      </c>
    </row>
    <row r="7" spans="1:9" x14ac:dyDescent="0.3">
      <c r="B7" s="13">
        <v>6</v>
      </c>
      <c r="C7" s="1" t="s">
        <v>49</v>
      </c>
      <c r="D7" s="1" t="s">
        <v>43</v>
      </c>
      <c r="E7" s="29">
        <v>44562</v>
      </c>
      <c r="F7" s="29">
        <v>44562</v>
      </c>
      <c r="G7" s="6" t="str">
        <f>VLOOKUP(I7,Index!$E:$F,2,0)</f>
        <v>GSDRS/SDCO/GSC\SPM03-Asscociate Consultant-Testing</v>
      </c>
      <c r="H7" s="1">
        <f t="shared" si="0"/>
        <v>8</v>
      </c>
      <c r="I7" s="1" t="str">
        <f>VLOOKUP(C7,Index!$A:$C,3,0)</f>
        <v>3T</v>
      </c>
    </row>
    <row r="8" spans="1:9" x14ac:dyDescent="0.3">
      <c r="B8" s="13">
        <v>7</v>
      </c>
      <c r="C8" s="1" t="s">
        <v>49</v>
      </c>
      <c r="D8" s="1" t="s">
        <v>44</v>
      </c>
      <c r="E8" s="29">
        <v>44562</v>
      </c>
      <c r="F8" s="29">
        <v>44562</v>
      </c>
      <c r="G8" s="6" t="str">
        <f>VLOOKUP(I8,Index!$E:$F,2,0)</f>
        <v>GSDRS/SDCO/GSC\SPM03-Asscociate Consultant-Testing</v>
      </c>
      <c r="H8" s="1">
        <f t="shared" si="0"/>
        <v>3</v>
      </c>
      <c r="I8" s="1" t="str">
        <f>VLOOKUP(C8,Index!$A:$C,3,0)</f>
        <v>3T</v>
      </c>
    </row>
    <row r="9" spans="1:9" x14ac:dyDescent="0.3">
      <c r="B9" s="13">
        <v>8</v>
      </c>
      <c r="C9" s="1" t="s">
        <v>49</v>
      </c>
      <c r="D9" s="1" t="s">
        <v>45</v>
      </c>
      <c r="E9" s="29">
        <v>44562</v>
      </c>
      <c r="F9" s="29">
        <v>44562</v>
      </c>
      <c r="G9" s="6" t="str">
        <f>VLOOKUP(I9,Index!$E:$F,2,0)</f>
        <v>GSDRS/SDCO/GSC\SPM03-Asscociate Consultant-Testing</v>
      </c>
      <c r="H9" s="1">
        <f t="shared" si="0"/>
        <v>3</v>
      </c>
      <c r="I9" s="1" t="str">
        <f>VLOOKUP(C9,Index!$A:$C,3,0)</f>
        <v>3T</v>
      </c>
    </row>
    <row r="10" spans="1:9" x14ac:dyDescent="0.3">
      <c r="B10" s="13">
        <v>9</v>
      </c>
      <c r="C10" s="1" t="s">
        <v>49</v>
      </c>
      <c r="D10" s="1" t="s">
        <v>46</v>
      </c>
      <c r="E10" s="29">
        <v>44562</v>
      </c>
      <c r="F10" s="29">
        <v>44562</v>
      </c>
      <c r="G10" s="6" t="str">
        <f>VLOOKUP(I10,Index!$E:$F,2,0)</f>
        <v>GSDRS/SDCO/GSC\SPM03-Asscociate Consultant-Testing</v>
      </c>
      <c r="H10" s="1">
        <f t="shared" si="0"/>
        <v>3</v>
      </c>
      <c r="I10" s="1" t="str">
        <f>VLOOKUP(C10,Index!$A:$C,3,0)</f>
        <v>3T</v>
      </c>
    </row>
    <row r="11" spans="1:9" x14ac:dyDescent="0.3">
      <c r="B11" s="13">
        <v>10</v>
      </c>
      <c r="C11" s="1" t="s">
        <v>49</v>
      </c>
      <c r="D11" s="1" t="s">
        <v>47</v>
      </c>
      <c r="E11" s="29">
        <v>44562</v>
      </c>
      <c r="F11" s="29">
        <v>44562</v>
      </c>
      <c r="G11" s="6" t="str">
        <f>VLOOKUP(I11,Index!$E:$F,2,0)</f>
        <v>GSDRS/SDCO/GSC\SPM03-Asscociate Consultant-Testing</v>
      </c>
      <c r="H11" s="1">
        <f t="shared" si="0"/>
        <v>3</v>
      </c>
      <c r="I11" s="1" t="str">
        <f>VLOOKUP(C11,Index!$A:$C,3,0)</f>
        <v>3T</v>
      </c>
    </row>
    <row r="12" spans="1:9" x14ac:dyDescent="0.3">
      <c r="B12" s="13">
        <v>11</v>
      </c>
      <c r="C12" s="1" t="s">
        <v>49</v>
      </c>
      <c r="D12" s="1" t="s">
        <v>48</v>
      </c>
      <c r="E12" s="29">
        <v>44562</v>
      </c>
      <c r="F12" s="29">
        <v>44562</v>
      </c>
      <c r="G12" s="6" t="str">
        <f>VLOOKUP(I12,Index!$E:$F,2,0)</f>
        <v>GSDRS/SDCO/GSC\SPM03-Asscociate Consultant-Testing</v>
      </c>
      <c r="H12" s="1">
        <f t="shared" si="0"/>
        <v>3</v>
      </c>
      <c r="I12" s="1" t="str">
        <f>VLOOKUP(C12,Index!$A:$C,3,0)</f>
        <v>3T</v>
      </c>
    </row>
  </sheetData>
  <dataValidations count="3">
    <dataValidation showInputMessage="1" showErrorMessage="1" errorTitle="Invalid Date Format" error="Date Format should be DD-MM-YYYY" promptTitle="Date Format should be DD-MM-YYYY" sqref="E1:F1" xr:uid="{7D81C07C-D4F2-4AC1-BC6D-4B9131C4C513}"/>
    <dataValidation type="date" showInputMessage="1" showErrorMessage="1" errorTitle="Invalid Date Format" error="Date Format should be DD-MM-YYYY" promptTitle="Date Format should be DD-MM-YYYY" sqref="E2:F12" xr:uid="{23BC3D98-8853-450C-87E2-79168BF561A6}">
      <formula1>44562</formula1>
      <formula2>2958101</formula2>
    </dataValidation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71F9E564-A282-4D12-AA54-1E4CA9AB22D8}">
      <formula1>36</formula1>
    </dataValidation>
  </dataValidations>
  <hyperlinks>
    <hyperlink ref="A1" location="'Index'!A1" tooltip="Return to Index" display="Index" xr:uid="{6023B423-FC36-4F2D-A99B-F5FAE7883E11}"/>
  </hyperlink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0CC62-FF61-4565-8FAA-9BE7F2410139}">
  <sheetPr codeName="Sheet315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21.6640625" bestFit="1" customWidth="1"/>
    <col min="4" max="4" width="18.5546875" bestFit="1" customWidth="1"/>
    <col min="5" max="6" width="9.88671875" bestFit="1" customWidth="1"/>
    <col min="7" max="7" width="41.6640625" bestFit="1" customWidth="1"/>
    <col min="8" max="8" width="11.6640625" bestFit="1" customWidth="1"/>
  </cols>
  <sheetData>
    <row r="1" spans="1:9" ht="28.8" x14ac:dyDescent="0.3">
      <c r="A1" s="3" t="s">
        <v>3</v>
      </c>
      <c r="B1" s="2" t="s">
        <v>1</v>
      </c>
      <c r="C1" s="2" t="s">
        <v>0</v>
      </c>
      <c r="D1" s="2" t="s">
        <v>5</v>
      </c>
      <c r="E1" s="8" t="s">
        <v>31</v>
      </c>
      <c r="F1" s="8" t="s">
        <v>32</v>
      </c>
      <c r="G1" s="8" t="s">
        <v>30</v>
      </c>
      <c r="H1" s="9" t="s">
        <v>4</v>
      </c>
      <c r="I1" s="2" t="s">
        <v>7</v>
      </c>
    </row>
    <row r="2" spans="1:9" x14ac:dyDescent="0.3">
      <c r="B2" s="12">
        <v>1</v>
      </c>
      <c r="C2" s="1" t="s">
        <v>8</v>
      </c>
      <c r="D2" s="1"/>
      <c r="E2" s="6"/>
      <c r="F2" s="6"/>
      <c r="G2" s="6" t="str">
        <f>VLOOKUP(I2,Index!$E:$F,2,0)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12">
        <v>2</v>
      </c>
      <c r="C3" s="1" t="s">
        <v>8</v>
      </c>
      <c r="D3" s="1"/>
      <c r="E3" s="6"/>
      <c r="F3" s="6"/>
      <c r="G3" s="6" t="str">
        <f>VLOOKUP(I3,Index!$E:$F,2,0)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12">
        <v>3</v>
      </c>
      <c r="C4" s="1" t="s">
        <v>8</v>
      </c>
      <c r="D4" s="1"/>
      <c r="E4" s="6"/>
      <c r="F4" s="6"/>
      <c r="G4" s="6" t="str">
        <f>VLOOKUP(I4,Index!$E:$F,2,0)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3">
        <v>4</v>
      </c>
      <c r="C5" s="1" t="s">
        <v>8</v>
      </c>
      <c r="D5" s="1"/>
      <c r="E5" s="6"/>
      <c r="F5" s="6"/>
      <c r="G5" s="6" t="str">
        <f>VLOOKUP(I5,Index!$E:$F,2,0)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3">
        <v>5</v>
      </c>
      <c r="C6" s="1" t="s">
        <v>8</v>
      </c>
      <c r="D6" s="1"/>
      <c r="E6" s="6"/>
      <c r="F6" s="6"/>
      <c r="G6" s="6" t="str">
        <f>VLOOKUP(I6,Index!$E:$F,2,0)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3">
        <v>6</v>
      </c>
      <c r="C7" s="1" t="s">
        <v>8</v>
      </c>
      <c r="D7" s="1"/>
      <c r="E7" s="6"/>
      <c r="F7" s="6"/>
      <c r="G7" s="6" t="str">
        <f>VLOOKUP(I7,Index!$E:$F,2,0)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3">
        <v>7</v>
      </c>
      <c r="C8" s="1" t="s">
        <v>8</v>
      </c>
      <c r="D8" s="1"/>
      <c r="E8" s="6"/>
      <c r="F8" s="6"/>
      <c r="G8" s="6" t="str">
        <f>VLOOKUP(I8,Index!$E:$F,2,0)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3">
        <v>8</v>
      </c>
      <c r="C9" s="1" t="s">
        <v>8</v>
      </c>
      <c r="D9" s="1"/>
      <c r="E9" s="6"/>
      <c r="F9" s="6"/>
      <c r="G9" s="6" t="str">
        <f>VLOOKUP(I9,Index!$E:$F,2,0)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3">
        <v>9</v>
      </c>
      <c r="C10" s="1" t="s">
        <v>8</v>
      </c>
      <c r="D10" s="1"/>
      <c r="E10" s="6"/>
      <c r="F10" s="6"/>
      <c r="G10" s="6" t="str">
        <f>VLOOKUP(I10,Index!$E:$F,2,0)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3">
        <v>10</v>
      </c>
      <c r="C11" s="1" t="s">
        <v>8</v>
      </c>
      <c r="D11" s="1"/>
      <c r="E11" s="6"/>
      <c r="F11" s="6"/>
      <c r="G11" s="6" t="str">
        <f>VLOOKUP(I11,Index!$E:$F,2,0)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3">
        <v>11</v>
      </c>
      <c r="C12" s="1" t="s">
        <v>8</v>
      </c>
      <c r="D12" s="1"/>
      <c r="E12" s="6"/>
      <c r="F12" s="6"/>
      <c r="G12" s="6" t="str">
        <f>VLOOKUP(I12,Index!$E:$F,2,0)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showInputMessage="1" showErrorMessage="1" errorTitle="Invalid Date Format" error="Date Format should be DD-MM-YYYY" promptTitle="Date Format should be DD-MM-YYYY" sqref="E1:F1" xr:uid="{49218B58-4887-400A-808D-BF032DEAA5C9}"/>
    <dataValidation type="date" showInputMessage="1" showErrorMessage="1" errorTitle="Invalid Date Format" error="Date Format should be DD-MM-YYYY" promptTitle="Date Format should be DD-MM-YYYY" sqref="E2:F12" xr:uid="{B316133D-7C1B-4DA9-8DB9-504E3FA092BA}">
      <formula1>44562</formula1>
      <formula2>2958101</formula2>
    </dataValidation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FB229DF6-DD90-423B-9995-1A5045291AB1}">
      <formula1>36</formula1>
    </dataValidation>
  </dataValidations>
  <hyperlinks>
    <hyperlink ref="A1" location="'Index'!A1" tooltip="Return to Index" display="Index" xr:uid="{29BA5AF0-F2BC-4AFE-8D03-A0BA1DEC5C75}"/>
  </hyperlink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666D-570A-4B20-84F9-B8EC47D4B7D1}">
  <sheetPr codeName="Sheet314"/>
  <dimension ref="A1:I12"/>
  <sheetViews>
    <sheetView workbookViewId="0">
      <selection activeCell="D2" sqref="D2:F2"/>
    </sheetView>
  </sheetViews>
  <sheetFormatPr defaultRowHeight="14.4" x14ac:dyDescent="0.3"/>
  <cols>
    <col min="2" max="2" width="3.44140625" bestFit="1" customWidth="1"/>
    <col min="3" max="3" width="10.5546875" bestFit="1" customWidth="1"/>
    <col min="4" max="4" width="18.5546875" bestFit="1" customWidth="1"/>
    <col min="5" max="6" width="9.88671875" bestFit="1" customWidth="1"/>
    <col min="7" max="7" width="40.6640625" bestFit="1" customWidth="1"/>
    <col min="8" max="8" width="11.6640625" bestFit="1" customWidth="1"/>
  </cols>
  <sheetData>
    <row r="1" spans="1:9" ht="28.8" x14ac:dyDescent="0.3">
      <c r="A1" s="3" t="s">
        <v>3</v>
      </c>
      <c r="B1" s="2" t="s">
        <v>1</v>
      </c>
      <c r="C1" s="2" t="s">
        <v>0</v>
      </c>
      <c r="D1" s="2" t="s">
        <v>5</v>
      </c>
      <c r="E1" s="8" t="s">
        <v>31</v>
      </c>
      <c r="F1" s="8" t="s">
        <v>32</v>
      </c>
      <c r="G1" s="8" t="s">
        <v>30</v>
      </c>
      <c r="H1" s="9" t="s">
        <v>4</v>
      </c>
      <c r="I1" s="2" t="s">
        <v>7</v>
      </c>
    </row>
    <row r="2" spans="1:9" x14ac:dyDescent="0.3">
      <c r="B2" s="12">
        <v>1</v>
      </c>
      <c r="C2" s="1" t="s">
        <v>10</v>
      </c>
      <c r="D2" s="1" t="s">
        <v>36</v>
      </c>
      <c r="E2" s="29">
        <v>44562</v>
      </c>
      <c r="F2" s="29">
        <v>44896</v>
      </c>
      <c r="G2" s="6" t="str">
        <f>VLOOKUP(I2,Index!$E:$F,2,0)</f>
        <v>GSDRS/SDCO/GSC\SPM03-Associate Engineer</v>
      </c>
      <c r="H2" s="1">
        <f>IF(LEN(D2)=0,"",LEN(D2))</f>
        <v>7</v>
      </c>
      <c r="I2" s="1" t="str">
        <f>VLOOKUP(C2,Index!$A:$C,3,0)</f>
        <v>2T</v>
      </c>
    </row>
    <row r="3" spans="1:9" x14ac:dyDescent="0.3">
      <c r="B3" s="12">
        <v>2</v>
      </c>
      <c r="C3" s="1" t="s">
        <v>10</v>
      </c>
      <c r="D3" s="1"/>
      <c r="E3" s="6"/>
      <c r="F3" s="6"/>
      <c r="G3" s="6" t="str">
        <f>VLOOKUP(I3,Index!$E:$F,2,0)</f>
        <v>GSDRS/SDCO/GSC\SPM03-Associate Engineer</v>
      </c>
      <c r="H3" s="1" t="str">
        <f t="shared" ref="H3:H12" si="0">IF(LEN(D3)=0,"",LEN(D3))</f>
        <v/>
      </c>
      <c r="I3" s="1" t="str">
        <f>VLOOKUP(C3,Index!$A:$C,3,0)</f>
        <v>2T</v>
      </c>
    </row>
    <row r="4" spans="1:9" x14ac:dyDescent="0.3">
      <c r="B4" s="12">
        <v>3</v>
      </c>
      <c r="C4" s="1" t="s">
        <v>10</v>
      </c>
      <c r="D4" s="1"/>
      <c r="E4" s="6"/>
      <c r="F4" s="6"/>
      <c r="G4" s="6" t="str">
        <f>VLOOKUP(I4,Index!$E:$F,2,0)</f>
        <v>GSDRS/SDCO/GSC\SPM03-Associate Engineer</v>
      </c>
      <c r="H4" s="1" t="str">
        <f t="shared" si="0"/>
        <v/>
      </c>
      <c r="I4" s="1" t="str">
        <f>VLOOKUP(C4,Index!$A:$C,3,0)</f>
        <v>2T</v>
      </c>
    </row>
    <row r="5" spans="1:9" x14ac:dyDescent="0.3">
      <c r="B5" s="13">
        <v>4</v>
      </c>
      <c r="C5" s="1" t="s">
        <v>10</v>
      </c>
      <c r="D5" s="1"/>
      <c r="E5" s="6"/>
      <c r="F5" s="6"/>
      <c r="G5" s="6" t="str">
        <f>VLOOKUP(I5,Index!$E:$F,2,0)</f>
        <v>GSDRS/SDCO/GSC\SPM03-Associate Engineer</v>
      </c>
      <c r="H5" s="1" t="str">
        <f t="shared" si="0"/>
        <v/>
      </c>
      <c r="I5" s="1" t="str">
        <f>VLOOKUP(C5,Index!$A:$C,3,0)</f>
        <v>2T</v>
      </c>
    </row>
    <row r="6" spans="1:9" x14ac:dyDescent="0.3">
      <c r="B6" s="13">
        <v>5</v>
      </c>
      <c r="C6" s="1" t="s">
        <v>10</v>
      </c>
      <c r="D6" s="1"/>
      <c r="E6" s="6"/>
      <c r="F6" s="6"/>
      <c r="G6" s="6" t="str">
        <f>VLOOKUP(I6,Index!$E:$F,2,0)</f>
        <v>GSDRS/SDCO/GSC\SPM03-Associate Engineer</v>
      </c>
      <c r="H6" s="1" t="str">
        <f t="shared" si="0"/>
        <v/>
      </c>
      <c r="I6" s="1" t="str">
        <f>VLOOKUP(C6,Index!$A:$C,3,0)</f>
        <v>2T</v>
      </c>
    </row>
    <row r="7" spans="1:9" x14ac:dyDescent="0.3">
      <c r="B7" s="13">
        <v>6</v>
      </c>
      <c r="C7" s="1" t="s">
        <v>10</v>
      </c>
      <c r="D7" s="1"/>
      <c r="E7" s="6"/>
      <c r="F7" s="6"/>
      <c r="G7" s="6" t="str">
        <f>VLOOKUP(I7,Index!$E:$F,2,0)</f>
        <v>GSDRS/SDCO/GSC\SPM03-Associate Engineer</v>
      </c>
      <c r="H7" s="1" t="str">
        <f t="shared" si="0"/>
        <v/>
      </c>
      <c r="I7" s="1" t="str">
        <f>VLOOKUP(C7,Index!$A:$C,3,0)</f>
        <v>2T</v>
      </c>
    </row>
    <row r="8" spans="1:9" x14ac:dyDescent="0.3">
      <c r="B8" s="13">
        <v>7</v>
      </c>
      <c r="C8" s="1" t="s">
        <v>10</v>
      </c>
      <c r="D8" s="1"/>
      <c r="E8" s="6"/>
      <c r="F8" s="6"/>
      <c r="G8" s="6" t="str">
        <f>VLOOKUP(I8,Index!$E:$F,2,0)</f>
        <v>GSDRS/SDCO/GSC\SPM03-Associate Engineer</v>
      </c>
      <c r="H8" s="1" t="str">
        <f t="shared" si="0"/>
        <v/>
      </c>
      <c r="I8" s="1" t="str">
        <f>VLOOKUP(C8,Index!$A:$C,3,0)</f>
        <v>2T</v>
      </c>
    </row>
    <row r="9" spans="1:9" x14ac:dyDescent="0.3">
      <c r="B9" s="13">
        <v>8</v>
      </c>
      <c r="C9" s="1" t="s">
        <v>10</v>
      </c>
      <c r="D9" s="1"/>
      <c r="E9" s="6"/>
      <c r="F9" s="6"/>
      <c r="G9" s="6" t="str">
        <f>VLOOKUP(I9,Index!$E:$F,2,0)</f>
        <v>GSDRS/SDCO/GSC\SPM03-Associate Engineer</v>
      </c>
      <c r="H9" s="1" t="str">
        <f t="shared" si="0"/>
        <v/>
      </c>
      <c r="I9" s="1" t="str">
        <f>VLOOKUP(C9,Index!$A:$C,3,0)</f>
        <v>2T</v>
      </c>
    </row>
    <row r="10" spans="1:9" x14ac:dyDescent="0.3">
      <c r="B10" s="13">
        <v>9</v>
      </c>
      <c r="C10" s="1" t="s">
        <v>10</v>
      </c>
      <c r="D10" s="1"/>
      <c r="E10" s="6"/>
      <c r="F10" s="6"/>
      <c r="G10" s="6" t="str">
        <f>VLOOKUP(I10,Index!$E:$F,2,0)</f>
        <v>GSDRS/SDCO/GSC\SPM03-Associate Engineer</v>
      </c>
      <c r="H10" s="1" t="str">
        <f t="shared" si="0"/>
        <v/>
      </c>
      <c r="I10" s="1" t="str">
        <f>VLOOKUP(C10,Index!$A:$C,3,0)</f>
        <v>2T</v>
      </c>
    </row>
    <row r="11" spans="1:9" x14ac:dyDescent="0.3">
      <c r="B11" s="13">
        <v>10</v>
      </c>
      <c r="C11" s="1" t="s">
        <v>10</v>
      </c>
      <c r="D11" s="1"/>
      <c r="E11" s="6"/>
      <c r="F11" s="6"/>
      <c r="G11" s="6" t="str">
        <f>VLOOKUP(I11,Index!$E:$F,2,0)</f>
        <v>GSDRS/SDCO/GSC\SPM03-Associate Engineer</v>
      </c>
      <c r="H11" s="1" t="str">
        <f t="shared" si="0"/>
        <v/>
      </c>
      <c r="I11" s="1" t="str">
        <f>VLOOKUP(C11,Index!$A:$C,3,0)</f>
        <v>2T</v>
      </c>
    </row>
    <row r="12" spans="1:9" x14ac:dyDescent="0.3">
      <c r="B12" s="13">
        <v>11</v>
      </c>
      <c r="C12" s="1" t="s">
        <v>10</v>
      </c>
      <c r="D12" s="1"/>
      <c r="E12" s="6"/>
      <c r="F12" s="6"/>
      <c r="G12" s="6" t="str">
        <f>VLOOKUP(I12,Index!$E:$F,2,0)</f>
        <v>GSDRS/SDCO/GSC\SPM03-Associate Engineer</v>
      </c>
      <c r="H12" s="1" t="str">
        <f t="shared" si="0"/>
        <v/>
      </c>
      <c r="I12" s="1" t="str">
        <f>VLOOKUP(C12,Index!$A:$C,3,0)</f>
        <v>2T</v>
      </c>
    </row>
  </sheetData>
  <dataValidations count="3">
    <dataValidation showInputMessage="1" showErrorMessage="1" errorTitle="Invalid Date Format" error="Date Format should be DD-MM-YYYY" promptTitle="Date Format should be DD-MM-YYYY" sqref="E1:F1" xr:uid="{3191D345-398B-4690-92B6-AB08D61C3B41}"/>
    <dataValidation type="date" showInputMessage="1" showErrorMessage="1" errorTitle="Invalid Date Format" error="Date Format should be DD-MM-YYYY" promptTitle="Date Format should be DD-MM-YYYY" sqref="E2:F12" xr:uid="{213BD99C-3FE4-40C1-BA6C-ABEE3F7C9ECF}">
      <formula1>44562</formula1>
      <formula2>2958101</formula2>
    </dataValidation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9ACCDE4C-ECB1-43AB-8067-CA010CCD999C}">
      <formula1>36</formula1>
    </dataValidation>
  </dataValidations>
  <hyperlinks>
    <hyperlink ref="A1" location="'Index'!A1" tooltip="Return to Index" display="Index" xr:uid="{D686C342-046D-47F7-BB2A-C65230B49E9E}"/>
  </hyperlink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Master</vt:lpstr>
      <vt:lpstr>Index</vt:lpstr>
      <vt:lpstr>Sumant Nandanwadkar</vt:lpstr>
      <vt:lpstr>Nikhil Joshi</vt:lpstr>
      <vt:lpstr>Nikhil Dhepe</vt:lpstr>
      <vt:lpstr>Supriya Kshirsagar Joshi</vt:lpstr>
      <vt:lpstr>Purva Ghag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Nandanwadkar, Sumant</dc:creator>
  <cp:lastModifiedBy>Joshi, Nikhil</cp:lastModifiedBy>
  <dcterms:created xsi:type="dcterms:W3CDTF">2021-06-30T05:19:53Z</dcterms:created>
  <dcterms:modified xsi:type="dcterms:W3CDTF">2022-05-23T10:50:00Z</dcterms:modified>
</cp:coreProperties>
</file>