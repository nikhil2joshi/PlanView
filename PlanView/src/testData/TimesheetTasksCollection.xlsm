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src\testData\"/>
    </mc:Choice>
  </mc:AlternateContent>
  <xr:revisionPtr revIDLastSave="0" documentId="13_ncr:1_{648740B8-2C37-4A2D-BFCB-AE6207D2E8D2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291" r:id="rId1"/>
    <sheet name="Index" sheetId="1" r:id="rId2"/>
    <sheet name="Sumant Nandanwadkar" sheetId="262" r:id="rId3"/>
    <sheet name="Nikhil Joshi" sheetId="261" r:id="rId4"/>
    <sheet name="Nikhil Dhepe" sheetId="260" r:id="rId5"/>
    <sheet name="Supriya Kshirsagar Joshi" sheetId="259" r:id="rId6"/>
    <sheet name="Purva Ghag" sheetId="258" r:id="rId7"/>
    <sheet name="Sapana Gawande" sheetId="257" r:id="rId8"/>
    <sheet name="Sachin Shet" sheetId="256" r:id="rId9"/>
    <sheet name="Amit Sinha" sheetId="255" r:id="rId10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55" l="1"/>
  <c r="I2" i="255"/>
  <c r="G2" i="255" s="1"/>
  <c r="I3" i="255"/>
  <c r="G3" i="255" s="1"/>
  <c r="I4" i="255"/>
  <c r="G4" i="255" s="1"/>
  <c r="I5" i="255"/>
  <c r="I6" i="255"/>
  <c r="G6" i="255" s="1"/>
  <c r="I7" i="255"/>
  <c r="G7" i="255" s="1"/>
  <c r="I8" i="255"/>
  <c r="G8" i="255" s="1"/>
  <c r="I9" i="255"/>
  <c r="G9" i="255" s="1"/>
  <c r="I10" i="255"/>
  <c r="G10" i="255" s="1"/>
  <c r="I11" i="255"/>
  <c r="G11" i="255" s="1"/>
  <c r="I12" i="255"/>
  <c r="G12" i="255" s="1"/>
  <c r="H12" i="255"/>
  <c r="H11" i="255"/>
  <c r="H10" i="255"/>
  <c r="H9" i="255"/>
  <c r="H8" i="255"/>
  <c r="H7" i="255"/>
  <c r="H6" i="255"/>
  <c r="H5" i="255"/>
  <c r="H4" i="255"/>
  <c r="H3" i="255"/>
  <c r="H2" i="255"/>
  <c r="G2" i="256"/>
  <c r="I2" i="256"/>
  <c r="I3" i="256"/>
  <c r="G3" i="256" s="1"/>
  <c r="I4" i="256"/>
  <c r="G4" i="256" s="1"/>
  <c r="I5" i="256"/>
  <c r="G5" i="256" s="1"/>
  <c r="I6" i="256"/>
  <c r="G6" i="256" s="1"/>
  <c r="I7" i="256"/>
  <c r="G7" i="256" s="1"/>
  <c r="I8" i="256"/>
  <c r="G8" i="256" s="1"/>
  <c r="I9" i="256"/>
  <c r="G9" i="256" s="1"/>
  <c r="I10" i="256"/>
  <c r="G10" i="256" s="1"/>
  <c r="I11" i="256"/>
  <c r="G11" i="256" s="1"/>
  <c r="I12" i="256"/>
  <c r="G12" i="256" s="1"/>
  <c r="H12" i="256"/>
  <c r="H11" i="256"/>
  <c r="H10" i="256"/>
  <c r="H9" i="256"/>
  <c r="H8" i="256"/>
  <c r="H7" i="256"/>
  <c r="H6" i="256"/>
  <c r="H5" i="256"/>
  <c r="H4" i="256"/>
  <c r="H3" i="256"/>
  <c r="H2" i="256"/>
  <c r="G3" i="257"/>
  <c r="G11" i="257"/>
  <c r="I2" i="257"/>
  <c r="G2" i="257" s="1"/>
  <c r="I3" i="257"/>
  <c r="I4" i="257"/>
  <c r="G4" i="257" s="1"/>
  <c r="I5" i="257"/>
  <c r="G5" i="257" s="1"/>
  <c r="I6" i="257"/>
  <c r="G6" i="257" s="1"/>
  <c r="I7" i="257"/>
  <c r="G7" i="257" s="1"/>
  <c r="I8" i="257"/>
  <c r="G8" i="257" s="1"/>
  <c r="I9" i="257"/>
  <c r="G9" i="257" s="1"/>
  <c r="I10" i="257"/>
  <c r="G10" i="257" s="1"/>
  <c r="I11" i="257"/>
  <c r="I12" i="257"/>
  <c r="G12" i="257" s="1"/>
  <c r="H12" i="257"/>
  <c r="H11" i="257"/>
  <c r="H10" i="257"/>
  <c r="H9" i="257"/>
  <c r="H8" i="257"/>
  <c r="H7" i="257"/>
  <c r="H6" i="257"/>
  <c r="H5" i="257"/>
  <c r="H4" i="257"/>
  <c r="H3" i="257"/>
  <c r="H2" i="257"/>
  <c r="G8" i="258"/>
  <c r="I2" i="258"/>
  <c r="G2" i="258" s="1"/>
  <c r="I3" i="258"/>
  <c r="G3" i="258" s="1"/>
  <c r="I4" i="258"/>
  <c r="G4" i="258" s="1"/>
  <c r="I5" i="258"/>
  <c r="G5" i="258" s="1"/>
  <c r="I6" i="258"/>
  <c r="G6" i="258" s="1"/>
  <c r="I7" i="258"/>
  <c r="G7" i="258" s="1"/>
  <c r="I8" i="258"/>
  <c r="I9" i="258"/>
  <c r="G9" i="258" s="1"/>
  <c r="I10" i="258"/>
  <c r="G10" i="258" s="1"/>
  <c r="I11" i="258"/>
  <c r="G11" i="258" s="1"/>
  <c r="I12" i="258"/>
  <c r="G12" i="258" s="1"/>
  <c r="H12" i="258"/>
  <c r="H11" i="258"/>
  <c r="H10" i="258"/>
  <c r="H9" i="258"/>
  <c r="H8" i="258"/>
  <c r="H7" i="258"/>
  <c r="H6" i="258"/>
  <c r="H5" i="258"/>
  <c r="H4" i="258"/>
  <c r="H3" i="258"/>
  <c r="H2" i="258"/>
  <c r="I2" i="259"/>
  <c r="G2" i="259" s="1"/>
  <c r="I3" i="259"/>
  <c r="G3" i="259" s="1"/>
  <c r="I4" i="259"/>
  <c r="G4" i="259" s="1"/>
  <c r="I5" i="259"/>
  <c r="G5" i="259" s="1"/>
  <c r="I6" i="259"/>
  <c r="G6" i="259" s="1"/>
  <c r="I7" i="259"/>
  <c r="G7" i="259" s="1"/>
  <c r="I8" i="259"/>
  <c r="G8" i="259" s="1"/>
  <c r="I9" i="259"/>
  <c r="G9" i="259" s="1"/>
  <c r="I10" i="259"/>
  <c r="G10" i="259" s="1"/>
  <c r="I11" i="259"/>
  <c r="G11" i="259" s="1"/>
  <c r="I12" i="259"/>
  <c r="G12" i="259" s="1"/>
  <c r="H12" i="259"/>
  <c r="H11" i="259"/>
  <c r="H10" i="259"/>
  <c r="H9" i="259"/>
  <c r="H8" i="259"/>
  <c r="H7" i="259"/>
  <c r="H6" i="259"/>
  <c r="H5" i="259"/>
  <c r="H4" i="259"/>
  <c r="H3" i="259"/>
  <c r="H2" i="259"/>
  <c r="G2" i="260"/>
  <c r="I2" i="260"/>
  <c r="I3" i="260"/>
  <c r="G3" i="260" s="1"/>
  <c r="I4" i="260"/>
  <c r="G4" i="260" s="1"/>
  <c r="I5" i="260"/>
  <c r="G5" i="260" s="1"/>
  <c r="I6" i="260"/>
  <c r="G6" i="260" s="1"/>
  <c r="I7" i="260"/>
  <c r="G7" i="260" s="1"/>
  <c r="I8" i="260"/>
  <c r="G8" i="260" s="1"/>
  <c r="I9" i="260"/>
  <c r="G9" i="260" s="1"/>
  <c r="I10" i="260"/>
  <c r="G10" i="260" s="1"/>
  <c r="I11" i="260"/>
  <c r="G11" i="260" s="1"/>
  <c r="I12" i="260"/>
  <c r="G12" i="260" s="1"/>
  <c r="H12" i="260"/>
  <c r="H11" i="260"/>
  <c r="H10" i="260"/>
  <c r="H9" i="260"/>
  <c r="H8" i="260"/>
  <c r="H7" i="260"/>
  <c r="H6" i="260"/>
  <c r="H5" i="260"/>
  <c r="H4" i="260"/>
  <c r="H3" i="260"/>
  <c r="H2" i="260"/>
  <c r="I2" i="261"/>
  <c r="G2" i="261" s="1"/>
  <c r="I3" i="261"/>
  <c r="G3" i="261" s="1"/>
  <c r="I4" i="261"/>
  <c r="G4" i="261" s="1"/>
  <c r="I5" i="261"/>
  <c r="G5" i="261" s="1"/>
  <c r="I6" i="261"/>
  <c r="G6" i="261" s="1"/>
  <c r="I7" i="261"/>
  <c r="G7" i="261" s="1"/>
  <c r="I8" i="261"/>
  <c r="G8" i="261" s="1"/>
  <c r="I9" i="261"/>
  <c r="G9" i="261" s="1"/>
  <c r="I10" i="261"/>
  <c r="G10" i="261" s="1"/>
  <c r="I11" i="261"/>
  <c r="G11" i="261" s="1"/>
  <c r="I12" i="261"/>
  <c r="G12" i="261" s="1"/>
  <c r="H12" i="261"/>
  <c r="H11" i="261"/>
  <c r="H10" i="261"/>
  <c r="H9" i="261"/>
  <c r="H8" i="261"/>
  <c r="H7" i="261"/>
  <c r="H6" i="261"/>
  <c r="H5" i="261"/>
  <c r="H4" i="261"/>
  <c r="H3" i="261"/>
  <c r="H2" i="261"/>
  <c r="G5" i="262"/>
  <c r="G6" i="262"/>
  <c r="G12" i="262"/>
  <c r="I2" i="262"/>
  <c r="G2" i="262" s="1"/>
  <c r="I3" i="262"/>
  <c r="G3" i="262" s="1"/>
  <c r="I4" i="262"/>
  <c r="G4" i="262" s="1"/>
  <c r="I5" i="262"/>
  <c r="I6" i="262"/>
  <c r="I7" i="262"/>
  <c r="G7" i="262" s="1"/>
  <c r="I8" i="262"/>
  <c r="G8" i="262" s="1"/>
  <c r="I9" i="262"/>
  <c r="G9" i="262" s="1"/>
  <c r="I10" i="262"/>
  <c r="G10" i="262" s="1"/>
  <c r="I11" i="262"/>
  <c r="G11" i="262" s="1"/>
  <c r="I12" i="262"/>
  <c r="H12" i="262"/>
  <c r="H11" i="262"/>
  <c r="H10" i="262"/>
  <c r="H9" i="262"/>
  <c r="H8" i="262"/>
  <c r="H7" i="262"/>
  <c r="H6" i="262"/>
  <c r="H5" i="262"/>
  <c r="H4" i="262"/>
  <c r="H3" i="262"/>
  <c r="H2" i="262"/>
  <c r="K12" i="1" l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D245D53D-6506-4DD5-9294-A7B142A7B617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G1" authorId="0" shapeId="0" xr:uid="{3C522379-6A34-41BF-A5E0-6881CA18B450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63559AA-24CE-4D0A-A1BC-EA88B420F3FF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057FE6BA-1638-4ADA-95D9-1563B68EFD8B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C4A7542-6B27-4CB0-A1A2-65D2FE5FED7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08924D6-5C0E-4C98-AF30-E1BC8A5AA7A2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C84B128D-72ED-4449-B9D2-F2B1A93C4CCC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12C23B6C-8C77-4044-BB84-69B3C1C00291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6BCDE4B-4AF0-4293-A8C5-C8C9FE93AE4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4C89B4EA-9D7A-4DA4-A20E-BF49519B897E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sharedStrings.xml><?xml version="1.0" encoding="utf-8"?>
<sst xmlns="http://schemas.openxmlformats.org/spreadsheetml/2006/main" count="372" uniqueCount="57">
  <si>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</si>
  <si>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</si>
  <si>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</si>
  <si>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</si>
  <si>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</si>
  <si>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</si>
  <si>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</si>
  <si>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</si>
  <si>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</si>
  <si>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</si>
  <si>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</si>
  <si>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</si>
  <si>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</si>
  <si>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</si>
  <si>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</si>
  <si>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</si>
  <si>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</si>
  <si>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</si>
  <si>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</si>
  <si>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</si>
  <si>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</si>
  <si>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</si>
  <si>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</si>
  <si>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</si>
  <si>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</si>
  <si>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</si>
  <si>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</si>
  <si>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</si>
  <si>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</si>
  <si>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</si>
  <si>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</si>
  <si>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</si>
  <si>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</si>
  <si>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Nikhil Dhepe</t>
  </si>
  <si>
    <t>Sapana Gawande</t>
  </si>
  <si>
    <t>Index</t>
  </si>
  <si>
    <t>Task Name - Activity</t>
  </si>
  <si>
    <t>Sachin Shet</t>
  </si>
  <si>
    <t>Amit Sinha</t>
  </si>
  <si>
    <t>Common1 - TE</t>
  </si>
  <si>
    <t>Common2 - TE</t>
  </si>
  <si>
    <t>Common3 - TE</t>
  </si>
  <si>
    <t>Common1 - TS</t>
  </si>
  <si>
    <t>Common2 - TS</t>
  </si>
  <si>
    <t>Common3 - TS</t>
  </si>
  <si>
    <t>SUM1 -TE</t>
  </si>
  <si>
    <t>NJ1 -TS</t>
  </si>
  <si>
    <t>ND1 -TS</t>
  </si>
  <si>
    <t>SK1 -TE</t>
  </si>
  <si>
    <t>SK12 - TS</t>
  </si>
  <si>
    <t>SG1 -TE</t>
  </si>
  <si>
    <t>Start Date</t>
  </si>
  <si>
    <t>End Date</t>
  </si>
  <si>
    <t>WBS Code:</t>
  </si>
  <si>
    <t>Hemant Dhande</t>
  </si>
  <si>
    <t>WL BE FS TCC Marco Polo</t>
  </si>
  <si>
    <t>ZI700891002-TOGSD1002341-0A06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</si>
</sst>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1" xfId="1" applyFont="1" applyBorder="1" applyAlignment="1">
      <alignment wrapText="1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BBE-2266-4912-9C16-0BABEEC7EB9F}">
  <sheetPr codeName="Sheet20"/>
  <dimension ref="A1:F38"/>
  <sheetViews>
    <sheetView tabSelected="1" workbookViewId="0">
      <selection activeCell="F2" sqref="F2"/>
    </sheetView>
  </sheetViews>
  <sheetFormatPr defaultRowHeight="14.4" x14ac:dyDescent="0.3"/>
  <cols>
    <col min="1" max="1" width="6.109375" style="37" bestFit="1" customWidth="1"/>
    <col min="2" max="2" width="20.21875" bestFit="1" customWidth="1"/>
    <col min="3" max="3" width="13.109375" bestFit="1" customWidth="1"/>
    <col min="4" max="5" width="10.33203125" style="37" bestFit="1" customWidth="1"/>
    <col min="6" max="6" width="48" bestFit="1" customWidth="1"/>
  </cols>
  <sheetData>
    <row r="1" spans="1:6" x14ac:dyDescent="0.3">
      <c r="A1" s="39" t="s">
        <v>55</v>
      </c>
      <c r="E1" s="37" t="s">
        <v>53</v>
      </c>
      <c r="F1" s="40" t="s">
        <v>56</v>
      </c>
    </row>
    <row r="2" spans="1:6" ht="28.8" x14ac:dyDescent="0.3">
      <c r="A2" s="2" t="s">
        <v>1</v>
      </c>
      <c r="B2" s="2" t="s">
        <v>0</v>
      </c>
      <c r="C2" s="2" t="s">
        <v>36</v>
      </c>
      <c r="D2" s="7" t="s">
        <v>51</v>
      </c>
      <c r="E2" s="7" t="s">
        <v>52</v>
      </c>
      <c r="F2" s="7" t="s">
        <v>28</v>
      </c>
    </row>
    <row r="3" spans="1:6" x14ac:dyDescent="0.3">
      <c r="A3" s="9">
        <v>1</v>
      </c>
      <c r="B3" s="1" t="s">
        <v>33</v>
      </c>
      <c r="C3" s="1" t="s">
        <v>39</v>
      </c>
      <c r="D3" s="38">
        <v>44562</v>
      </c>
      <c r="E3" s="38">
        <v>44650</v>
      </c>
      <c r="F3" s="5" t="s">
        <v>31</v>
      </c>
    </row>
    <row r="4" spans="1:6" x14ac:dyDescent="0.3">
      <c r="A4" s="9">
        <v>1</v>
      </c>
      <c r="B4" s="1" t="s">
        <v>54</v>
      </c>
      <c r="C4" s="1" t="s">
        <v>39</v>
      </c>
      <c r="D4" s="38">
        <v>44562</v>
      </c>
      <c r="E4" s="38">
        <v>44650</v>
      </c>
      <c r="F4" s="5" t="s">
        <v>24</v>
      </c>
    </row>
    <row r="5" spans="1:6" x14ac:dyDescent="0.3">
      <c r="A5" s="9">
        <v>1</v>
      </c>
      <c r="B5" s="1" t="s">
        <v>7</v>
      </c>
      <c r="C5" s="1" t="s">
        <v>39</v>
      </c>
      <c r="D5" s="38">
        <v>44562</v>
      </c>
      <c r="E5" s="38">
        <v>44650</v>
      </c>
      <c r="F5" s="5" t="s">
        <v>22</v>
      </c>
    </row>
    <row r="6" spans="1:6" x14ac:dyDescent="0.3">
      <c r="A6" s="9">
        <v>1</v>
      </c>
      <c r="B6" s="1" t="s">
        <v>6</v>
      </c>
      <c r="C6" s="1" t="s">
        <v>39</v>
      </c>
      <c r="D6" s="38">
        <v>44562</v>
      </c>
      <c r="E6" s="38">
        <v>44650</v>
      </c>
      <c r="F6" s="5" t="s">
        <v>22</v>
      </c>
    </row>
    <row r="7" spans="1:6" x14ac:dyDescent="0.3">
      <c r="A7" s="9">
        <v>1</v>
      </c>
      <c r="B7" s="1" t="s">
        <v>4</v>
      </c>
      <c r="C7" s="1" t="s">
        <v>39</v>
      </c>
      <c r="D7" s="38">
        <v>44562</v>
      </c>
      <c r="E7" s="38">
        <v>44650</v>
      </c>
      <c r="F7" s="5" t="s">
        <v>25</v>
      </c>
    </row>
    <row r="8" spans="1:6" x14ac:dyDescent="0.3">
      <c r="A8" s="10">
        <v>4</v>
      </c>
      <c r="B8" s="1" t="s">
        <v>33</v>
      </c>
      <c r="C8" s="1" t="s">
        <v>42</v>
      </c>
      <c r="D8" s="38">
        <v>44562</v>
      </c>
      <c r="E8" s="38">
        <v>44592</v>
      </c>
      <c r="F8" s="5" t="s">
        <v>31</v>
      </c>
    </row>
    <row r="9" spans="1:6" x14ac:dyDescent="0.3">
      <c r="A9" s="10">
        <v>4</v>
      </c>
      <c r="B9" s="1" t="s">
        <v>54</v>
      </c>
      <c r="C9" s="1" t="s">
        <v>42</v>
      </c>
      <c r="D9" s="38">
        <v>44562</v>
      </c>
      <c r="E9" s="38">
        <v>44592</v>
      </c>
      <c r="F9" s="5" t="s">
        <v>24</v>
      </c>
    </row>
    <row r="10" spans="1:6" x14ac:dyDescent="0.3">
      <c r="A10" s="10">
        <v>4</v>
      </c>
      <c r="B10" s="1" t="s">
        <v>7</v>
      </c>
      <c r="C10" s="1" t="s">
        <v>42</v>
      </c>
      <c r="D10" s="38">
        <v>44562</v>
      </c>
      <c r="E10" s="38">
        <v>44592</v>
      </c>
      <c r="F10" s="5" t="s">
        <v>22</v>
      </c>
    </row>
    <row r="11" spans="1:6" x14ac:dyDescent="0.3">
      <c r="A11" s="10">
        <v>4</v>
      </c>
      <c r="B11" s="1" t="s">
        <v>6</v>
      </c>
      <c r="C11" s="1" t="s">
        <v>42</v>
      </c>
      <c r="D11" s="38">
        <v>44562</v>
      </c>
      <c r="E11" s="38">
        <v>44592</v>
      </c>
      <c r="F11" s="5" t="s">
        <v>22</v>
      </c>
    </row>
    <row r="12" spans="1:6" x14ac:dyDescent="0.3">
      <c r="A12" s="10">
        <v>4</v>
      </c>
      <c r="B12" s="1" t="s">
        <v>4</v>
      </c>
      <c r="C12" s="1" t="s">
        <v>42</v>
      </c>
      <c r="D12" s="38">
        <v>44562</v>
      </c>
      <c r="E12" s="38">
        <v>44592</v>
      </c>
      <c r="F12" s="5" t="s">
        <v>25</v>
      </c>
    </row>
    <row r="13" spans="1:6" x14ac:dyDescent="0.3">
      <c r="A13" s="9">
        <v>2</v>
      </c>
      <c r="B13" s="1" t="s">
        <v>33</v>
      </c>
      <c r="C13" s="1" t="s">
        <v>40</v>
      </c>
      <c r="D13" s="38">
        <v>44562</v>
      </c>
      <c r="E13" s="38">
        <v>44650</v>
      </c>
      <c r="F13" s="5" t="s">
        <v>31</v>
      </c>
    </row>
    <row r="14" spans="1:6" x14ac:dyDescent="0.3">
      <c r="A14" s="9">
        <v>2</v>
      </c>
      <c r="B14" s="1" t="s">
        <v>54</v>
      </c>
      <c r="C14" s="1" t="s">
        <v>40</v>
      </c>
      <c r="D14" s="38">
        <v>44562</v>
      </c>
      <c r="E14" s="38">
        <v>44650</v>
      </c>
      <c r="F14" s="5" t="s">
        <v>24</v>
      </c>
    </row>
    <row r="15" spans="1:6" x14ac:dyDescent="0.3">
      <c r="A15" s="9">
        <v>2</v>
      </c>
      <c r="B15" s="1" t="s">
        <v>7</v>
      </c>
      <c r="C15" s="1" t="s">
        <v>40</v>
      </c>
      <c r="D15" s="38">
        <v>44562</v>
      </c>
      <c r="E15" s="38">
        <v>44650</v>
      </c>
      <c r="F15" s="5" t="s">
        <v>22</v>
      </c>
    </row>
    <row r="16" spans="1:6" x14ac:dyDescent="0.3">
      <c r="A16" s="9">
        <v>2</v>
      </c>
      <c r="B16" s="1" t="s">
        <v>6</v>
      </c>
      <c r="C16" s="1" t="s">
        <v>40</v>
      </c>
      <c r="D16" s="38">
        <v>44562</v>
      </c>
      <c r="E16" s="38">
        <v>44650</v>
      </c>
      <c r="F16" s="5" t="s">
        <v>22</v>
      </c>
    </row>
    <row r="17" spans="1:6" x14ac:dyDescent="0.3">
      <c r="A17" s="9">
        <v>2</v>
      </c>
      <c r="B17" s="1" t="s">
        <v>4</v>
      </c>
      <c r="C17" s="1" t="s">
        <v>40</v>
      </c>
      <c r="D17" s="38">
        <v>44562</v>
      </c>
      <c r="E17" s="38">
        <v>44650</v>
      </c>
      <c r="F17" s="5" t="s">
        <v>25</v>
      </c>
    </row>
    <row r="18" spans="1:6" x14ac:dyDescent="0.3">
      <c r="A18" s="10">
        <v>5</v>
      </c>
      <c r="B18" s="1" t="s">
        <v>33</v>
      </c>
      <c r="C18" s="1" t="s">
        <v>43</v>
      </c>
      <c r="D18" s="38">
        <v>44562</v>
      </c>
      <c r="E18" s="38">
        <v>44620</v>
      </c>
      <c r="F18" s="5" t="s">
        <v>31</v>
      </c>
    </row>
    <row r="19" spans="1:6" x14ac:dyDescent="0.3">
      <c r="A19" s="10">
        <v>5</v>
      </c>
      <c r="B19" s="1" t="s">
        <v>54</v>
      </c>
      <c r="C19" s="1" t="s">
        <v>43</v>
      </c>
      <c r="D19" s="38">
        <v>44562</v>
      </c>
      <c r="E19" s="38">
        <v>44620</v>
      </c>
      <c r="F19" s="5" t="s">
        <v>24</v>
      </c>
    </row>
    <row r="20" spans="1:6" x14ac:dyDescent="0.3">
      <c r="A20" s="10">
        <v>5</v>
      </c>
      <c r="B20" s="1" t="s">
        <v>7</v>
      </c>
      <c r="C20" s="1" t="s">
        <v>43</v>
      </c>
      <c r="D20" s="38">
        <v>44562</v>
      </c>
      <c r="E20" s="38">
        <v>44620</v>
      </c>
      <c r="F20" s="5" t="s">
        <v>22</v>
      </c>
    </row>
    <row r="21" spans="1:6" x14ac:dyDescent="0.3">
      <c r="A21" s="10">
        <v>5</v>
      </c>
      <c r="B21" s="1" t="s">
        <v>6</v>
      </c>
      <c r="C21" s="1" t="s">
        <v>43</v>
      </c>
      <c r="D21" s="38">
        <v>44562</v>
      </c>
      <c r="E21" s="38">
        <v>44620</v>
      </c>
      <c r="F21" s="5" t="s">
        <v>22</v>
      </c>
    </row>
    <row r="22" spans="1:6" x14ac:dyDescent="0.3">
      <c r="A22" s="10">
        <v>5</v>
      </c>
      <c r="B22" s="1" t="s">
        <v>4</v>
      </c>
      <c r="C22" s="1" t="s">
        <v>43</v>
      </c>
      <c r="D22" s="38">
        <v>44562</v>
      </c>
      <c r="E22" s="38">
        <v>44620</v>
      </c>
      <c r="F22" s="5" t="s">
        <v>25</v>
      </c>
    </row>
    <row r="23" spans="1:6" x14ac:dyDescent="0.3">
      <c r="A23" s="9">
        <v>3</v>
      </c>
      <c r="B23" s="1" t="s">
        <v>33</v>
      </c>
      <c r="C23" s="1" t="s">
        <v>41</v>
      </c>
      <c r="D23" s="38">
        <v>44835</v>
      </c>
      <c r="E23" s="38">
        <v>44920</v>
      </c>
      <c r="F23" s="5" t="s">
        <v>31</v>
      </c>
    </row>
    <row r="24" spans="1:6" x14ac:dyDescent="0.3">
      <c r="A24" s="9">
        <v>3</v>
      </c>
      <c r="B24" s="1" t="s">
        <v>54</v>
      </c>
      <c r="C24" s="1" t="s">
        <v>41</v>
      </c>
      <c r="D24" s="38">
        <v>44835</v>
      </c>
      <c r="E24" s="38">
        <v>44920</v>
      </c>
      <c r="F24" s="5" t="s">
        <v>24</v>
      </c>
    </row>
    <row r="25" spans="1:6" x14ac:dyDescent="0.3">
      <c r="A25" s="9">
        <v>3</v>
      </c>
      <c r="B25" s="1" t="s">
        <v>7</v>
      </c>
      <c r="C25" s="1" t="s">
        <v>41</v>
      </c>
      <c r="D25" s="38">
        <v>44835</v>
      </c>
      <c r="E25" s="38">
        <v>44920</v>
      </c>
      <c r="F25" s="5" t="s">
        <v>22</v>
      </c>
    </row>
    <row r="26" spans="1:6" x14ac:dyDescent="0.3">
      <c r="A26" s="9">
        <v>3</v>
      </c>
      <c r="B26" s="1" t="s">
        <v>6</v>
      </c>
      <c r="C26" s="1" t="s">
        <v>41</v>
      </c>
      <c r="D26" s="38">
        <v>44835</v>
      </c>
      <c r="E26" s="38">
        <v>44920</v>
      </c>
      <c r="F26" s="5" t="s">
        <v>22</v>
      </c>
    </row>
    <row r="27" spans="1:6" x14ac:dyDescent="0.3">
      <c r="A27" s="9">
        <v>3</v>
      </c>
      <c r="B27" s="1" t="s">
        <v>4</v>
      </c>
      <c r="C27" s="1" t="s">
        <v>41</v>
      </c>
      <c r="D27" s="38">
        <v>44835</v>
      </c>
      <c r="E27" s="38">
        <v>44920</v>
      </c>
      <c r="F27" s="5" t="s">
        <v>25</v>
      </c>
    </row>
    <row r="28" spans="1:6" x14ac:dyDescent="0.3">
      <c r="A28" s="10">
        <v>6</v>
      </c>
      <c r="B28" s="1" t="s">
        <v>33</v>
      </c>
      <c r="C28" s="1" t="s">
        <v>44</v>
      </c>
      <c r="D28" s="38">
        <v>44835</v>
      </c>
      <c r="E28" s="38">
        <v>44920</v>
      </c>
      <c r="F28" s="5" t="s">
        <v>31</v>
      </c>
    </row>
    <row r="29" spans="1:6" x14ac:dyDescent="0.3">
      <c r="A29" s="10">
        <v>6</v>
      </c>
      <c r="B29" s="1" t="s">
        <v>54</v>
      </c>
      <c r="C29" s="1" t="s">
        <v>44</v>
      </c>
      <c r="D29" s="38">
        <v>44835</v>
      </c>
      <c r="E29" s="38">
        <v>44920</v>
      </c>
      <c r="F29" s="5" t="s">
        <v>24</v>
      </c>
    </row>
    <row r="30" spans="1:6" x14ac:dyDescent="0.3">
      <c r="A30" s="10">
        <v>6</v>
      </c>
      <c r="B30" s="1" t="s">
        <v>7</v>
      </c>
      <c r="C30" s="1" t="s">
        <v>44</v>
      </c>
      <c r="D30" s="38">
        <v>44835</v>
      </c>
      <c r="E30" s="38">
        <v>44920</v>
      </c>
      <c r="F30" s="5" t="s">
        <v>22</v>
      </c>
    </row>
    <row r="31" spans="1:6" x14ac:dyDescent="0.3">
      <c r="A31" s="10">
        <v>6</v>
      </c>
      <c r="B31" s="1" t="s">
        <v>6</v>
      </c>
      <c r="C31" s="1" t="s">
        <v>44</v>
      </c>
      <c r="D31" s="38">
        <v>44835</v>
      </c>
      <c r="E31" s="38">
        <v>44920</v>
      </c>
      <c r="F31" s="5" t="s">
        <v>22</v>
      </c>
    </row>
    <row r="32" spans="1:6" x14ac:dyDescent="0.3">
      <c r="A32" s="10">
        <v>6</v>
      </c>
      <c r="B32" s="1" t="s">
        <v>4</v>
      </c>
      <c r="C32" s="1" t="s">
        <v>44</v>
      </c>
      <c r="D32" s="38">
        <v>44835</v>
      </c>
      <c r="E32" s="38">
        <v>44920</v>
      </c>
      <c r="F32" s="5" t="s">
        <v>25</v>
      </c>
    </row>
    <row r="33" spans="1:6" x14ac:dyDescent="0.3">
      <c r="A33" s="10">
        <v>7</v>
      </c>
      <c r="B33" s="1" t="s">
        <v>33</v>
      </c>
      <c r="C33" s="1" t="s">
        <v>47</v>
      </c>
      <c r="D33" s="38">
        <v>44824</v>
      </c>
      <c r="E33" s="38">
        <v>44923</v>
      </c>
      <c r="F33" s="5" t="s">
        <v>31</v>
      </c>
    </row>
    <row r="34" spans="1:6" x14ac:dyDescent="0.3">
      <c r="A34" s="10">
        <v>7</v>
      </c>
      <c r="B34" s="1" t="s">
        <v>7</v>
      </c>
      <c r="C34" s="1" t="s">
        <v>46</v>
      </c>
      <c r="D34" s="38">
        <v>44793</v>
      </c>
      <c r="E34" s="38">
        <v>44893</v>
      </c>
      <c r="F34" s="5" t="s">
        <v>22</v>
      </c>
    </row>
    <row r="35" spans="1:6" x14ac:dyDescent="0.3">
      <c r="A35" s="9">
        <v>1</v>
      </c>
      <c r="B35" s="1" t="s">
        <v>34</v>
      </c>
      <c r="C35" s="1" t="s">
        <v>50</v>
      </c>
      <c r="D35" s="38">
        <v>44562</v>
      </c>
      <c r="E35" s="38">
        <v>44926</v>
      </c>
      <c r="F35" s="5" t="s">
        <v>31</v>
      </c>
    </row>
    <row r="36" spans="1:6" x14ac:dyDescent="0.3">
      <c r="A36" s="10">
        <v>7</v>
      </c>
      <c r="B36" s="1" t="s">
        <v>6</v>
      </c>
      <c r="C36" s="1" t="s">
        <v>48</v>
      </c>
      <c r="D36" s="38">
        <v>44793</v>
      </c>
      <c r="E36" s="38">
        <v>44893</v>
      </c>
      <c r="F36" s="5" t="s">
        <v>22</v>
      </c>
    </row>
    <row r="37" spans="1:6" x14ac:dyDescent="0.3">
      <c r="A37" s="10">
        <v>8</v>
      </c>
      <c r="B37" s="1" t="s">
        <v>6</v>
      </c>
      <c r="C37" s="1" t="s">
        <v>49</v>
      </c>
      <c r="D37" s="38">
        <v>44824</v>
      </c>
      <c r="E37" s="38">
        <v>44923</v>
      </c>
      <c r="F37" s="5" t="s">
        <v>22</v>
      </c>
    </row>
    <row r="38" spans="1:6" x14ac:dyDescent="0.3">
      <c r="A38" s="10">
        <v>7</v>
      </c>
      <c r="B38" s="1" t="s">
        <v>4</v>
      </c>
      <c r="C38" s="1" t="s">
        <v>45</v>
      </c>
      <c r="D38" s="38">
        <v>44835</v>
      </c>
      <c r="E38" s="38">
        <v>44920</v>
      </c>
      <c r="F38" s="5" t="s">
        <v>25</v>
      </c>
    </row>
  </sheetData>
  <sortState xmlns:xlrd2="http://schemas.microsoft.com/office/spreadsheetml/2017/richdata2" ref="A3:F38">
    <sortCondition ref="C2"/>
    <sortCondition ref="F2"/>
  </sortState>
  <dataValidations count="3">
    <dataValidation showInputMessage="1" showErrorMessage="1" errorTitle="Invalid Date Format" error="Date Format should be DD-MM-YYYY" promptTitle="Date Format should be DD-MM-YYYY" sqref="D2:E2" xr:uid="{C0ADABFB-469A-4ADE-9327-E1975F4CFB1B}"/>
    <dataValidation type="textLength" operator="lessThanOrEqual" allowBlank="1" showInputMessage="1" showErrorMessage="1" errorTitle="Task Name Length Invalid" error="Task Name length should be &lt;= 36" promptTitle="Task Name length should be &lt;= 36" sqref="C2:C38" xr:uid="{AB237001-9D9E-4E6A-A592-E1317D6F5302}">
      <formula1>36</formula1>
    </dataValidation>
    <dataValidation type="date" showInputMessage="1" showErrorMessage="1" errorTitle="Invalid Date Format" error="Date Format should be DD-MM-YYYY" promptTitle="Date Format should be DD-MM-YYYY" sqref="D3:E38" xr:uid="{2E865A76-B1F2-48D3-8E64-8D35FED2EBE7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topLeftCell="D1" zoomScale="115" zoomScaleNormal="115" workbookViewId="0">
      <selection activeCell="G9" sqref="G9"/>
    </sheetView>
  </sheetViews>
  <sheetFormatPr defaultRowHeight="14.4" x14ac:dyDescent="0.3"/>
  <cols>
    <col min="1" max="1" width="20.109375" style="27" bestFit="1" customWidth="1"/>
    <col min="2" max="2" width="20.21875" style="28" customWidth="1"/>
    <col min="3" max="3" width="8" style="30" customWidth="1"/>
    <col min="4" max="4" width="11.21875" style="27" customWidth="1"/>
    <col min="5" max="5" width="5.5546875" style="11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7" customWidth="1"/>
    <col min="15" max="15" width="40.109375" style="29" bestFit="1" customWidth="1"/>
    <col min="16" max="16" width="9.88671875" style="27" customWidth="1"/>
    <col min="17" max="17" width="9.88671875" customWidth="1"/>
  </cols>
  <sheetData>
    <row r="1" spans="1:17" s="13" customFormat="1" ht="28.8" x14ac:dyDescent="0.3">
      <c r="A1" s="31" t="s">
        <v>2</v>
      </c>
      <c r="B1" s="16"/>
      <c r="C1" s="17" t="s">
        <v>9</v>
      </c>
      <c r="D1" s="15"/>
      <c r="E1" s="2" t="s">
        <v>1</v>
      </c>
      <c r="F1" s="2" t="s">
        <v>0</v>
      </c>
      <c r="G1" s="2" t="s">
        <v>36</v>
      </c>
      <c r="H1" s="7" t="s">
        <v>51</v>
      </c>
      <c r="I1" s="7" t="s">
        <v>52</v>
      </c>
      <c r="J1" s="7" t="s">
        <v>28</v>
      </c>
      <c r="K1" s="8" t="s">
        <v>3</v>
      </c>
      <c r="L1" s="2" t="s">
        <v>5</v>
      </c>
      <c r="N1" s="17" t="s">
        <v>5</v>
      </c>
      <c r="O1" s="18" t="s">
        <v>14</v>
      </c>
      <c r="P1" s="15"/>
      <c r="Q1" s="12"/>
    </row>
    <row r="2" spans="1:17" x14ac:dyDescent="0.3">
      <c r="A2" s="19" t="s">
        <v>4</v>
      </c>
      <c r="B2" s="35" t="s">
        <v>4</v>
      </c>
      <c r="C2" s="18" t="s">
        <v>10</v>
      </c>
      <c r="D2" s="20"/>
      <c r="E2" s="9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7" t="s">
        <v>15</v>
      </c>
      <c r="O2" s="16" t="s">
        <v>23</v>
      </c>
      <c r="P2" s="16"/>
      <c r="Q2" s="14"/>
    </row>
    <row r="3" spans="1:17" x14ac:dyDescent="0.3">
      <c r="A3" s="19" t="s">
        <v>7</v>
      </c>
      <c r="B3" s="36" t="s">
        <v>7</v>
      </c>
      <c r="C3" s="18" t="s">
        <v>11</v>
      </c>
      <c r="D3" s="22"/>
      <c r="E3" s="9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7" t="s">
        <v>13</v>
      </c>
      <c r="O3" s="16" t="s">
        <v>24</v>
      </c>
      <c r="P3" s="16"/>
      <c r="Q3" s="4"/>
    </row>
    <row r="4" spans="1:17" x14ac:dyDescent="0.3">
      <c r="A4" s="19" t="s">
        <v>33</v>
      </c>
      <c r="B4" s="36" t="s">
        <v>33</v>
      </c>
      <c r="C4" s="18" t="s">
        <v>12</v>
      </c>
      <c r="D4" s="22"/>
      <c r="E4" s="9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7" t="s">
        <v>12</v>
      </c>
      <c r="O4" s="16" t="s">
        <v>31</v>
      </c>
      <c r="P4" s="16"/>
      <c r="Q4" s="4"/>
    </row>
    <row r="5" spans="1:17" x14ac:dyDescent="0.3">
      <c r="A5" s="19" t="s">
        <v>6</v>
      </c>
      <c r="B5" s="36" t="s">
        <v>6</v>
      </c>
      <c r="C5" s="18" t="s">
        <v>11</v>
      </c>
      <c r="D5" s="22"/>
      <c r="E5" s="10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7" t="s">
        <v>11</v>
      </c>
      <c r="O5" s="16" t="s">
        <v>22</v>
      </c>
      <c r="P5" s="16"/>
      <c r="Q5" s="4"/>
    </row>
    <row r="6" spans="1:17" x14ac:dyDescent="0.3">
      <c r="A6" s="19" t="s">
        <v>8</v>
      </c>
      <c r="B6" s="36" t="s">
        <v>8</v>
      </c>
      <c r="C6" s="18" t="s">
        <v>13</v>
      </c>
      <c r="D6" s="22"/>
      <c r="E6" s="10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7" t="s">
        <v>10</v>
      </c>
      <c r="O6" s="16" t="s">
        <v>25</v>
      </c>
      <c r="P6" s="16"/>
      <c r="Q6" s="4"/>
    </row>
    <row r="7" spans="1:17" x14ac:dyDescent="0.3">
      <c r="A7" s="19" t="s">
        <v>34</v>
      </c>
      <c r="B7" s="36" t="s">
        <v>34</v>
      </c>
      <c r="C7" s="18" t="s">
        <v>12</v>
      </c>
      <c r="D7" s="22"/>
      <c r="E7" s="10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23" t="s">
        <v>26</v>
      </c>
      <c r="O7" s="16" t="s">
        <v>27</v>
      </c>
      <c r="P7" s="16"/>
      <c r="Q7" s="4"/>
    </row>
    <row r="8" spans="1:17" x14ac:dyDescent="0.3">
      <c r="A8" s="19" t="s">
        <v>37</v>
      </c>
      <c r="B8" s="36" t="s">
        <v>37</v>
      </c>
      <c r="C8" s="18" t="s">
        <v>11</v>
      </c>
      <c r="D8" s="22"/>
      <c r="E8" s="10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7" t="s">
        <v>16</v>
      </c>
      <c r="O8" s="34"/>
      <c r="P8" s="16"/>
      <c r="Q8" s="4"/>
    </row>
    <row r="9" spans="1:17" x14ac:dyDescent="0.3">
      <c r="A9" s="19" t="s">
        <v>38</v>
      </c>
      <c r="B9" s="36" t="s">
        <v>38</v>
      </c>
      <c r="C9" s="18" t="s">
        <v>11</v>
      </c>
      <c r="D9" s="22"/>
      <c r="E9" s="10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7" t="s">
        <v>17</v>
      </c>
      <c r="O9" s="34" t="s">
        <v>32</v>
      </c>
      <c r="P9" s="16"/>
      <c r="Q9" s="4"/>
    </row>
    <row r="10" spans="1:17" x14ac:dyDescent="0.3">
      <c r="A10" s="19"/>
      <c r="B10" s="21"/>
      <c r="C10" s="18"/>
      <c r="D10" s="22"/>
      <c r="E10" s="10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7" t="s">
        <v>18</v>
      </c>
      <c r="O10" s="34" t="s">
        <v>32</v>
      </c>
      <c r="P10" s="16"/>
      <c r="Q10" s="4"/>
    </row>
    <row r="11" spans="1:17" x14ac:dyDescent="0.3">
      <c r="A11" s="19"/>
      <c r="B11" s="21"/>
      <c r="C11" s="18"/>
      <c r="D11" s="22"/>
      <c r="E11" s="10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7" t="s">
        <v>19</v>
      </c>
      <c r="O11" s="34" t="s">
        <v>32</v>
      </c>
      <c r="P11" s="16"/>
      <c r="Q11" s="4"/>
    </row>
    <row r="12" spans="1:17" x14ac:dyDescent="0.3">
      <c r="A12" s="19"/>
      <c r="B12" s="21"/>
      <c r="C12" s="18"/>
      <c r="D12" s="22"/>
      <c r="E12" s="10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7" t="s">
        <v>20</v>
      </c>
      <c r="O12" s="34" t="s">
        <v>32</v>
      </c>
      <c r="P12" s="16"/>
      <c r="Q12" s="4"/>
    </row>
    <row r="13" spans="1:17" x14ac:dyDescent="0.3">
      <c r="A13" s="19"/>
      <c r="B13" s="21"/>
      <c r="C13" s="18"/>
      <c r="D13" s="22"/>
      <c r="E13" s="10"/>
      <c r="F13" s="1"/>
      <c r="G13" s="1"/>
      <c r="H13" s="5"/>
      <c r="I13" s="5"/>
      <c r="J13" s="5"/>
      <c r="K13" s="1" t="str">
        <f t="shared" si="1"/>
        <v/>
      </c>
      <c r="L13" s="1"/>
      <c r="N13" s="17" t="s">
        <v>21</v>
      </c>
      <c r="O13" s="34" t="s">
        <v>32</v>
      </c>
      <c r="P13" s="16"/>
      <c r="Q13" s="4"/>
    </row>
    <row r="14" spans="1:17" x14ac:dyDescent="0.3">
      <c r="A14" s="19"/>
      <c r="B14" s="21"/>
      <c r="C14" s="18"/>
      <c r="D14" s="22"/>
      <c r="E14" s="10"/>
      <c r="F14" s="1"/>
      <c r="G14" s="1"/>
      <c r="H14" s="5"/>
      <c r="I14" s="5"/>
      <c r="J14" s="5"/>
      <c r="K14" s="1" t="str">
        <f t="shared" si="1"/>
        <v/>
      </c>
      <c r="L14" s="1"/>
      <c r="N14" s="22"/>
      <c r="O14" s="24"/>
      <c r="P14" s="22"/>
      <c r="Q14" s="4"/>
    </row>
    <row r="15" spans="1:17" x14ac:dyDescent="0.3">
      <c r="A15" s="19"/>
      <c r="B15" s="21"/>
      <c r="C15" s="18"/>
      <c r="D15" s="25"/>
      <c r="E15" s="10"/>
      <c r="F15" s="1"/>
      <c r="G15" s="1"/>
      <c r="H15" s="5"/>
      <c r="I15" s="5"/>
      <c r="J15" s="5"/>
      <c r="K15" s="1" t="str">
        <f t="shared" si="1"/>
        <v/>
      </c>
      <c r="L15" s="1"/>
      <c r="N15" s="25"/>
      <c r="O15" s="26"/>
      <c r="P15" s="25"/>
      <c r="Q15" s="3"/>
    </row>
    <row r="16" spans="1:17" x14ac:dyDescent="0.3">
      <c r="A16" s="32"/>
      <c r="B16" s="33"/>
      <c r="C16" s="18"/>
      <c r="E16" s="10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32"/>
      <c r="B17" s="33"/>
      <c r="C17" s="18"/>
      <c r="E17" s="10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32"/>
      <c r="B18" s="33"/>
      <c r="C18" s="18"/>
      <c r="E18" s="10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32"/>
      <c r="B19" s="33"/>
      <c r="C19" s="18"/>
      <c r="E19" s="10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10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10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10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10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10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10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10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10"/>
      <c r="F27" s="1"/>
      <c r="G27" s="1"/>
      <c r="H27" s="5"/>
      <c r="I27" s="5"/>
      <c r="J27" s="5"/>
      <c r="K27" s="1"/>
      <c r="L27" s="1"/>
    </row>
    <row r="28" spans="1:12" x14ac:dyDescent="0.3">
      <c r="E28" s="10"/>
      <c r="F28" s="1"/>
      <c r="G28" s="1"/>
      <c r="H28" s="5"/>
      <c r="I28" s="5"/>
      <c r="J28" s="5"/>
      <c r="K28" s="1"/>
      <c r="L28" s="1"/>
    </row>
    <row r="29" spans="1:12" x14ac:dyDescent="0.3">
      <c r="E29" s="10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E45DA61D-8F8C-4673-9729-F1D8C503528B}"/>
    <hyperlink ref="B3" location="'Nikhil Joshi'!A1" tooltip="Go to Nikhil Joshi" display="Nikhil Joshi" xr:uid="{7AC2CAFC-6C08-4A30-B08F-A6A7C29B33ED}"/>
    <hyperlink ref="B4" location="'Nikhil Dhepe'!A1" tooltip="Go to Nikhil Dhepe" display="Nikhil Dhepe" xr:uid="{DE01514F-6D72-4B4A-AE79-9CCF1DB10F5F}"/>
    <hyperlink ref="B5" location="'Supriya Kshirsagar Joshi'!A1" tooltip="Go to Supriya Kshirsagar Joshi" display="Supriya Kshirsagar Joshi" xr:uid="{394DEA83-4317-4207-9F03-098D8846D571}"/>
    <hyperlink ref="B6" location="'Purva Ghag'!A1" tooltip="Go to Purva Ghag" display="Purva Ghag" xr:uid="{79B8F438-2B46-4AE2-85B4-B4FFD7A9D54F}"/>
    <hyperlink ref="B7" location="'Sapana Gawande'!A1" tooltip="Go to Sapana Gawande" display="Sapana Gawande" xr:uid="{367F7426-24D5-49B7-878C-E6B3E0EA4439}"/>
    <hyperlink ref="B8" location="'Sachin Shet'!A1" tooltip="Go to Sachin Shet" display="Sachin Shet" xr:uid="{AC1CB8D1-72BD-402E-B4AB-568A668236EF}"/>
    <hyperlink ref="B9" location="'Amit Sinha'!A1" tooltip="Go to Amit Sinha" display="Amit Sinha" xr:uid="{AD6C4E9C-CA15-4635-B12A-6A568057E1B7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5249-5086-4158-B41E-567A24FE0761}">
  <sheetPr codeName="Sheet81"/>
  <dimension ref="A1:I12"/>
  <sheetViews>
    <sheetView workbookViewId="0">
      <selection activeCell="E1" sqref="E1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4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GSDRS/SDCO/GSC\SPM03-Senior Consultant - Testing</v>
      </c>
      <c r="H2" s="1">
        <f>IF(LEN(D2)=0,"",LEN(D2))</f>
        <v>12</v>
      </c>
      <c r="I2" s="1" t="str">
        <f>VLOOKUP(C2,Index!$A:$C,3,0)</f>
        <v>5T</v>
      </c>
    </row>
    <row r="3" spans="1:9" x14ac:dyDescent="0.3">
      <c r="B3" s="9">
        <v>2</v>
      </c>
      <c r="C3" s="1" t="s">
        <v>4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GSDRS/SDCO/GSC\SPM03-Senior Consultant - Testing</v>
      </c>
      <c r="H3" s="1">
        <f t="shared" ref="H3:H12" si="0">IF(LEN(D3)=0,"",LEN(D3))</f>
        <v>12</v>
      </c>
      <c r="I3" s="1" t="str">
        <f>VLOOKUP(C3,Index!$A:$C,3,0)</f>
        <v>5T</v>
      </c>
    </row>
    <row r="4" spans="1:9" x14ac:dyDescent="0.3">
      <c r="B4" s="9">
        <v>3</v>
      </c>
      <c r="C4" s="1" t="s">
        <v>4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GSDRS/SDCO/GSC\SPM03-Senior Consultant - Testing</v>
      </c>
      <c r="H4" s="1">
        <f t="shared" si="0"/>
        <v>12</v>
      </c>
      <c r="I4" s="1" t="str">
        <f>VLOOKUP(C4,Index!$A:$C,3,0)</f>
        <v>5T</v>
      </c>
    </row>
    <row r="5" spans="1:9" x14ac:dyDescent="0.3">
      <c r="B5" s="10">
        <v>4</v>
      </c>
      <c r="C5" s="1" t="s">
        <v>4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GSDRS/SDCO/GSC\SPM03-Senior Consultant - Testing</v>
      </c>
      <c r="H5" s="1">
        <f t="shared" si="0"/>
        <v>12</v>
      </c>
      <c r="I5" s="1" t="str">
        <f>VLOOKUP(C5,Index!$A:$C,3,0)</f>
        <v>5T</v>
      </c>
    </row>
    <row r="6" spans="1:9" x14ac:dyDescent="0.3">
      <c r="B6" s="10">
        <v>5</v>
      </c>
      <c r="C6" s="1" t="s">
        <v>4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GSDRS/SDCO/GSC\SPM03-Senior Consultant - Testing</v>
      </c>
      <c r="H6" s="1">
        <f t="shared" si="0"/>
        <v>12</v>
      </c>
      <c r="I6" s="1" t="str">
        <f>VLOOKUP(C6,Index!$A:$C,3,0)</f>
        <v>5T</v>
      </c>
    </row>
    <row r="7" spans="1:9" x14ac:dyDescent="0.3">
      <c r="B7" s="10">
        <v>6</v>
      </c>
      <c r="C7" s="1" t="s">
        <v>4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GSDRS/SDCO/GSC\SPM03-Senior Consultant - Testing</v>
      </c>
      <c r="H7" s="1">
        <f t="shared" si="0"/>
        <v>12</v>
      </c>
      <c r="I7" s="1" t="str">
        <f>VLOOKUP(C7,Index!$A:$C,3,0)</f>
        <v>5T</v>
      </c>
    </row>
    <row r="8" spans="1:9" x14ac:dyDescent="0.3">
      <c r="B8" s="10">
        <v>7</v>
      </c>
      <c r="C8" s="1" t="s">
        <v>4</v>
      </c>
      <c r="D8" s="1" t="s">
        <v>45</v>
      </c>
      <c r="E8" s="5">
        <v>44835</v>
      </c>
      <c r="F8" s="5">
        <v>44920</v>
      </c>
      <c r="G8" s="5" t="str">
        <f>VLOOKUP(I8,Index!$N:$O,2,0)</f>
        <v>GSDRS/SDCO/GSC\SPM03-Senior Consultant - Testing</v>
      </c>
      <c r="H8" s="1">
        <f t="shared" si="0"/>
        <v>8</v>
      </c>
      <c r="I8" s="1" t="str">
        <f>VLOOKUP(C8,Index!$A:$C,3,0)</f>
        <v>5T</v>
      </c>
    </row>
    <row r="9" spans="1:9" x14ac:dyDescent="0.3">
      <c r="B9" s="10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0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0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0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5A4A22E-DD5C-40E5-AC6B-453F77B97592}">
      <formula1>36</formula1>
    </dataValidation>
    <dataValidation showInputMessage="1" showErrorMessage="1" errorTitle="Invalid Date Format" error="Date Format should be DD-MM-YYYY" promptTitle="Date Format should be DD-MM-YYYY" sqref="E1:F1" xr:uid="{C4484C5D-4468-42E5-8003-847C2C5F2D6C}"/>
    <dataValidation type="date" showInputMessage="1" showErrorMessage="1" errorTitle="Invalid Date Format" error="Date Format should be DD-MM-YYYY" promptTitle="Date Format should be DD-MM-YYYY" sqref="E2:F12" xr:uid="{8BB5CF77-405E-464C-BBD4-068AC3CE2D4D}">
      <formula1>44562</formula1>
      <formula2>2958101</formula2>
    </dataValidation>
  </dataValidations>
  <hyperlinks>
    <hyperlink ref="A1" location="'Index'!A1" tooltip="Return to Index" display="Index" xr:uid="{2C2D4933-8AFD-4EEA-8F20-23E47575280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66B-FAE0-4C06-841F-59EBC6A1F7A3}">
  <sheetPr codeName="Sheet80"/>
  <dimension ref="A1:I12"/>
  <sheetViews>
    <sheetView workbookViewId="0">
      <selection activeCell="E8" sqref="E8:F8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7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7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7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7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7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7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7</v>
      </c>
      <c r="D8" s="1" t="s">
        <v>46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E0E60A4E-9D8A-4B05-9A8D-3B0C2F216F7D}">
      <formula1>36</formula1>
    </dataValidation>
    <dataValidation showInputMessage="1" showErrorMessage="1" errorTitle="Invalid Date Format" error="Date Format should be DD-MM-YYYY" promptTitle="Date Format should be DD-MM-YYYY" sqref="E1:F1" xr:uid="{3FDE2CE0-1622-443A-AEAB-F8030848F04D}"/>
    <dataValidation type="date" showInputMessage="1" showErrorMessage="1" errorTitle="Invalid Date Format" error="Date Format should be DD-MM-YYYY" promptTitle="Date Format should be DD-MM-YYYY" sqref="E2:F12" xr:uid="{7C0D3C96-38C7-4E97-9405-E02ABBC19018}">
      <formula1>44562</formula1>
      <formula2>2958101</formula2>
    </dataValidation>
  </dataValidations>
  <hyperlinks>
    <hyperlink ref="A1" location="'Index'!A1" tooltip="Return to Index" display="Index" xr:uid="{BB771893-37E8-4034-B69A-A438DF74E477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5683-0B39-4E81-B2B0-0DE5E49EB7D7}">
  <sheetPr codeName="Sheet79"/>
  <dimension ref="A1:I12"/>
  <sheetViews>
    <sheetView workbookViewId="0">
      <selection activeCell="G20" sqref="G20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33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GSDRS/SDCO/GSC\SPM03-Asscociate Consultant-Testing</v>
      </c>
      <c r="H2" s="1">
        <f>IF(LEN(D2)=0,"",LEN(D2))</f>
        <v>12</v>
      </c>
      <c r="I2" s="1" t="str">
        <f>VLOOKUP(C2,Index!$A:$C,3,0)</f>
        <v>3T</v>
      </c>
    </row>
    <row r="3" spans="1:9" x14ac:dyDescent="0.3">
      <c r="B3" s="9">
        <v>2</v>
      </c>
      <c r="C3" s="1" t="s">
        <v>33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GSDRS/SDCO/GSC\SPM03-Asscociate Consultant-Testing</v>
      </c>
      <c r="H3" s="1">
        <f t="shared" ref="H3:H12" si="0">IF(LEN(D3)=0,"",LEN(D3))</f>
        <v>12</v>
      </c>
      <c r="I3" s="1" t="str">
        <f>VLOOKUP(C3,Index!$A:$C,3,0)</f>
        <v>3T</v>
      </c>
    </row>
    <row r="4" spans="1:9" x14ac:dyDescent="0.3">
      <c r="B4" s="9">
        <v>3</v>
      </c>
      <c r="C4" s="1" t="s">
        <v>33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GSDRS/SDCO/GSC\SPM03-Asscociate Consultant-Testing</v>
      </c>
      <c r="H4" s="1">
        <f t="shared" si="0"/>
        <v>12</v>
      </c>
      <c r="I4" s="1" t="str">
        <f>VLOOKUP(C4,Index!$A:$C,3,0)</f>
        <v>3T</v>
      </c>
    </row>
    <row r="5" spans="1:9" x14ac:dyDescent="0.3">
      <c r="B5" s="10">
        <v>4</v>
      </c>
      <c r="C5" s="1" t="s">
        <v>33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GSDRS/SDCO/GSC\SPM03-Asscociate Consultant-Testing</v>
      </c>
      <c r="H5" s="1">
        <f t="shared" si="0"/>
        <v>12</v>
      </c>
      <c r="I5" s="1" t="str">
        <f>VLOOKUP(C5,Index!$A:$C,3,0)</f>
        <v>3T</v>
      </c>
    </row>
    <row r="6" spans="1:9" x14ac:dyDescent="0.3">
      <c r="B6" s="10">
        <v>5</v>
      </c>
      <c r="C6" s="1" t="s">
        <v>33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GSDRS/SDCO/GSC\SPM03-Asscociate Consultant-Testing</v>
      </c>
      <c r="H6" s="1">
        <f t="shared" si="0"/>
        <v>12</v>
      </c>
      <c r="I6" s="1" t="str">
        <f>VLOOKUP(C6,Index!$A:$C,3,0)</f>
        <v>3T</v>
      </c>
    </row>
    <row r="7" spans="1:9" x14ac:dyDescent="0.3">
      <c r="B7" s="10">
        <v>6</v>
      </c>
      <c r="C7" s="1" t="s">
        <v>33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GSDRS/SDCO/GSC\SPM03-Asscociate Consultant-Testing</v>
      </c>
      <c r="H7" s="1">
        <f t="shared" si="0"/>
        <v>12</v>
      </c>
      <c r="I7" s="1" t="str">
        <f>VLOOKUP(C7,Index!$A:$C,3,0)</f>
        <v>3T</v>
      </c>
    </row>
    <row r="8" spans="1:9" x14ac:dyDescent="0.3">
      <c r="B8" s="10">
        <v>7</v>
      </c>
      <c r="C8" s="1" t="s">
        <v>33</v>
      </c>
      <c r="D8" s="1" t="s">
        <v>47</v>
      </c>
      <c r="E8" s="5">
        <v>44824</v>
      </c>
      <c r="F8" s="5">
        <v>44923</v>
      </c>
      <c r="G8" s="5" t="str">
        <f>VLOOKUP(I8,Index!$N:$O,2,0)</f>
        <v>GSDRS/SDCO/GSC\SPM03-Asscociate Consultant-Testing</v>
      </c>
      <c r="H8" s="1">
        <f t="shared" si="0"/>
        <v>7</v>
      </c>
      <c r="I8" s="1" t="str">
        <f>VLOOKUP(C8,Index!$A:$C,3,0)</f>
        <v>3T</v>
      </c>
    </row>
    <row r="9" spans="1:9" x14ac:dyDescent="0.3">
      <c r="B9" s="10">
        <v>8</v>
      </c>
      <c r="C9" s="1" t="s">
        <v>33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33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33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33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4AF2CCC6-6EC4-477D-AD49-3D4EA8F70BAC}">
      <formula1>36</formula1>
    </dataValidation>
    <dataValidation showInputMessage="1" showErrorMessage="1" errorTitle="Invalid Date Format" error="Date Format should be DD-MM-YYYY" promptTitle="Date Format should be DD-MM-YYYY" sqref="E1:F1" xr:uid="{B6CE4A50-1DE9-4E66-A431-B370E6B6BB90}"/>
    <dataValidation type="date" showInputMessage="1" showErrorMessage="1" errorTitle="Invalid Date Format" error="Date Format should be DD-MM-YYYY" promptTitle="Date Format should be DD-MM-YYYY" sqref="E2:F12" xr:uid="{C8168DDD-7E6D-425E-B0D0-DE4069B5B0D3}">
      <formula1>44562</formula1>
      <formula2>2958101</formula2>
    </dataValidation>
  </dataValidations>
  <hyperlinks>
    <hyperlink ref="A1" location="'Index'!A1" tooltip="Return to Index" display="Index" xr:uid="{075A2001-01FE-4DD0-BFB2-0B9E9AFCFC99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5892-1972-47C2-8FFA-989D7E3D9698}">
  <sheetPr codeName="Sheet78"/>
  <dimension ref="A1:I12"/>
  <sheetViews>
    <sheetView workbookViewId="0">
      <selection activeCell="F10" sqref="F10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6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6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6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6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6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6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6</v>
      </c>
      <c r="D8" s="1" t="s">
        <v>48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6</v>
      </c>
      <c r="D9" s="1" t="s">
        <v>49</v>
      </c>
      <c r="E9" s="5">
        <v>44824</v>
      </c>
      <c r="F9" s="5">
        <v>44923</v>
      </c>
      <c r="G9" s="5" t="str">
        <f>VLOOKUP(I9,Index!$N:$O,2,0)</f>
        <v>GSDRS/SDCO/GSC\SPM03-Consultant - Testing</v>
      </c>
      <c r="H9" s="1">
        <f t="shared" si="0"/>
        <v>9</v>
      </c>
      <c r="I9" s="1" t="str">
        <f>VLOOKUP(C9,Index!$A:$C,3,0)</f>
        <v>4T</v>
      </c>
    </row>
    <row r="10" spans="1:9" x14ac:dyDescent="0.3">
      <c r="B10" s="10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8286C28-42B2-49CC-96A1-21B7D8A779AE}">
      <formula1>36</formula1>
    </dataValidation>
    <dataValidation showInputMessage="1" showErrorMessage="1" errorTitle="Invalid Date Format" error="Date Format should be DD-MM-YYYY" promptTitle="Date Format should be DD-MM-YYYY" sqref="E1:F1" xr:uid="{EA1C9A1A-A253-4DE2-BF3D-B11C0D3769E2}"/>
    <dataValidation type="date" showInputMessage="1" showErrorMessage="1" errorTitle="Invalid Date Format" error="Date Format should be DD-MM-YYYY" promptTitle="Date Format should be DD-MM-YYYY" sqref="E2:F12" xr:uid="{B715421C-3A87-4AAF-885E-36B12720600B}">
      <formula1>44562</formula1>
      <formula2>2958101</formula2>
    </dataValidation>
  </dataValidations>
  <hyperlinks>
    <hyperlink ref="A1" location="'Index'!A1" tooltip="Return to Index" display="Index" xr:uid="{BEA1EF7E-3077-4068-B2F6-AC46441CAB2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FF01-0E96-4F4B-8D37-75B3C62F4E9F}">
  <sheetPr codeName="Sheet77"/>
  <dimension ref="A1:I12"/>
  <sheetViews>
    <sheetView workbookViewId="0">
      <selection activeCell="J17" sqref="J17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8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GSDRS/SDCO/GSC\SPM03-Associate Engineer</v>
      </c>
      <c r="H2" s="1">
        <f>IF(LEN(D2)=0,"",LEN(D2))</f>
        <v>12</v>
      </c>
      <c r="I2" s="1" t="str">
        <f>VLOOKUP(C2,Index!$A:$C,3,0)</f>
        <v>2T</v>
      </c>
    </row>
    <row r="3" spans="1:9" x14ac:dyDescent="0.3">
      <c r="B3" s="9">
        <v>2</v>
      </c>
      <c r="C3" s="1" t="s">
        <v>8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GSDRS/SDCO/GSC\SPM03-Associate Engineer</v>
      </c>
      <c r="H3" s="1">
        <f t="shared" ref="H3:H12" si="0">IF(LEN(D3)=0,"",LEN(D3))</f>
        <v>12</v>
      </c>
      <c r="I3" s="1" t="str">
        <f>VLOOKUP(C3,Index!$A:$C,3,0)</f>
        <v>2T</v>
      </c>
    </row>
    <row r="4" spans="1:9" x14ac:dyDescent="0.3">
      <c r="B4" s="9">
        <v>3</v>
      </c>
      <c r="C4" s="1" t="s">
        <v>8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GSDRS/SDCO/GSC\SPM03-Associate Engineer</v>
      </c>
      <c r="H4" s="1">
        <f t="shared" si="0"/>
        <v>12</v>
      </c>
      <c r="I4" s="1" t="str">
        <f>VLOOKUP(C4,Index!$A:$C,3,0)</f>
        <v>2T</v>
      </c>
    </row>
    <row r="5" spans="1:9" x14ac:dyDescent="0.3">
      <c r="B5" s="10">
        <v>4</v>
      </c>
      <c r="C5" s="1" t="s">
        <v>8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GSDRS/SDCO/GSC\SPM03-Associate Engineer</v>
      </c>
      <c r="H5" s="1">
        <f t="shared" si="0"/>
        <v>12</v>
      </c>
      <c r="I5" s="1" t="str">
        <f>VLOOKUP(C5,Index!$A:$C,3,0)</f>
        <v>2T</v>
      </c>
    </row>
    <row r="6" spans="1:9" x14ac:dyDescent="0.3">
      <c r="B6" s="10">
        <v>5</v>
      </c>
      <c r="C6" s="1" t="s">
        <v>8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GSDRS/SDCO/GSC\SPM03-Associate Engineer</v>
      </c>
      <c r="H6" s="1">
        <f t="shared" si="0"/>
        <v>12</v>
      </c>
      <c r="I6" s="1" t="str">
        <f>VLOOKUP(C6,Index!$A:$C,3,0)</f>
        <v>2T</v>
      </c>
    </row>
    <row r="7" spans="1:9" x14ac:dyDescent="0.3">
      <c r="B7" s="10">
        <v>6</v>
      </c>
      <c r="C7" s="1" t="s">
        <v>8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GSDRS/SDCO/GSC\SPM03-Associate Engineer</v>
      </c>
      <c r="H7" s="1">
        <f t="shared" si="0"/>
        <v>12</v>
      </c>
      <c r="I7" s="1" t="str">
        <f>VLOOKUP(C7,Index!$A:$C,3,0)</f>
        <v>2T</v>
      </c>
    </row>
    <row r="8" spans="1:9" x14ac:dyDescent="0.3">
      <c r="B8" s="10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0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0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0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0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D0DC481F-2098-4435-A9FF-474EA59F1316}">
      <formula1>36</formula1>
    </dataValidation>
    <dataValidation showInputMessage="1" showErrorMessage="1" errorTitle="Invalid Date Format" error="Date Format should be DD-MM-YYYY" promptTitle="Date Format should be DD-MM-YYYY" sqref="E1:F1" xr:uid="{56191DE0-36B8-4C46-89B7-1094C51B7C5E}"/>
    <dataValidation type="date" showInputMessage="1" showErrorMessage="1" errorTitle="Invalid Date Format" error="Date Format should be DD-MM-YYYY" promptTitle="Date Format should be DD-MM-YYYY" sqref="E2:F12" xr:uid="{A39750F2-BCF8-45AA-9E40-C593BFF9F709}">
      <formula1>44562</formula1>
      <formula2>2958101</formula2>
    </dataValidation>
  </dataValidations>
  <hyperlinks>
    <hyperlink ref="A1" location="'Index'!A1" tooltip="Return to Index" display="Index" xr:uid="{DD3D9D75-2BB9-4936-B0FB-3E8AAD70A31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788A-5CF1-4A22-8842-75E2CF712665}">
  <sheetPr codeName="Sheet76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34</v>
      </c>
      <c r="D2" s="1" t="s">
        <v>50</v>
      </c>
      <c r="E2" s="5">
        <v>44562</v>
      </c>
      <c r="F2" s="5">
        <v>44926</v>
      </c>
      <c r="G2" s="5" t="str">
        <f>VLOOKUP(I2,Index!$N:$O,2,0)</f>
        <v>GSDRS/SDCO/GSC\SPM03-Asscociate Consultant-Testing</v>
      </c>
      <c r="H2" s="1">
        <f>IF(LEN(D2)=0,"",LEN(D2))</f>
        <v>7</v>
      </c>
      <c r="I2" s="1" t="str">
        <f>VLOOKUP(C2,Index!$A:$C,3,0)</f>
        <v>3T</v>
      </c>
    </row>
    <row r="3" spans="1:9" x14ac:dyDescent="0.3">
      <c r="B3" s="9">
        <v>2</v>
      </c>
      <c r="C3" s="1" t="s">
        <v>34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9">
        <v>3</v>
      </c>
      <c r="C4" s="1" t="s">
        <v>34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10">
        <v>4</v>
      </c>
      <c r="C5" s="1" t="s">
        <v>34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10">
        <v>5</v>
      </c>
      <c r="C6" s="1" t="s">
        <v>34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10">
        <v>6</v>
      </c>
      <c r="C7" s="1" t="s">
        <v>34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10">
        <v>7</v>
      </c>
      <c r="C8" s="1" t="s">
        <v>34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10">
        <v>8</v>
      </c>
      <c r="C9" s="1" t="s">
        <v>34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34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34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34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A7EFF554-4EC4-4F64-966A-F0619C36F833}">
      <formula1>36</formula1>
    </dataValidation>
    <dataValidation showInputMessage="1" showErrorMessage="1" errorTitle="Invalid Date Format" error="Date Format should be DD-MM-YYYY" promptTitle="Date Format should be DD-MM-YYYY" sqref="E1:F1" xr:uid="{221C0316-19B5-4950-B3A3-AC1B01D86837}"/>
    <dataValidation type="date" showInputMessage="1" showErrorMessage="1" errorTitle="Invalid Date Format" error="Date Format should be DD-MM-YYYY" promptTitle="Date Format should be DD-MM-YYYY" sqref="E2:F12" xr:uid="{93BB785D-E44F-4C91-BF1E-3B69ADA2252A}">
      <formula1>44562</formula1>
      <formula2>2958101</formula2>
    </dataValidation>
  </dataValidations>
  <hyperlinks>
    <hyperlink ref="A1" location="'Index'!A1" tooltip="Return to Index" display="Index" xr:uid="{3FDEE1FC-94C3-4C6F-B14D-35C3B48C938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9742F-DEA3-41DD-AD50-4E3E80F53E32}">
  <sheetPr codeName="Sheet7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37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08F1D73-5CF9-492F-AB06-C9E1CE44BA4D}">
      <formula1>36</formula1>
    </dataValidation>
    <dataValidation showInputMessage="1" showErrorMessage="1" errorTitle="Invalid Date Format" error="Date Format should be DD-MM-YYYY" promptTitle="Date Format should be DD-MM-YYYY" sqref="E1:F1" xr:uid="{B2E30637-0938-4E4C-819F-2560BB823D1B}"/>
    <dataValidation type="date" showInputMessage="1" showErrorMessage="1" errorTitle="Invalid Date Format" error="Date Format should be DD-MM-YYYY" promptTitle="Date Format should be DD-MM-YYYY" sqref="E2:F12" xr:uid="{08756056-A415-4245-A035-9055F1DD6298}">
      <formula1>44562</formula1>
      <formula2>2958101</formula2>
    </dataValidation>
  </dataValidations>
  <hyperlinks>
    <hyperlink ref="A1" location="'Index'!A1" tooltip="Return to Index" display="Index" xr:uid="{E5211131-66ED-4903-9BE7-289AB8F1BDB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6D0D-7285-420D-B978-BF5570DDC324}">
  <sheetPr codeName="Sheet74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38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38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38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38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38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38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38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38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38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38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38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5E6D24DC-F139-4501-B58E-D81640833657}">
      <formula1>36</formula1>
    </dataValidation>
    <dataValidation showInputMessage="1" showErrorMessage="1" errorTitle="Invalid Date Format" error="Date Format should be DD-MM-YYYY" promptTitle="Date Format should be DD-MM-YYYY" sqref="E1:F1" xr:uid="{5DDF2117-045B-4EA4-B15C-F8219D3E0F13}"/>
    <dataValidation type="date" showInputMessage="1" showErrorMessage="1" errorTitle="Invalid Date Format" error="Date Format should be DD-MM-YYYY" promptTitle="Date Format should be DD-MM-YYYY" sqref="E2:F12" xr:uid="{E2AF88D7-4BB9-46B6-8943-A0C613804F86}">
      <formula1>44562</formula1>
      <formula2>2958101</formula2>
    </dataValidation>
  </dataValidations>
  <hyperlinks>
    <hyperlink ref="A1" location="'Index'!A1" tooltip="Return to Index" display="Index" xr:uid="{E0E3B5C2-2097-40C9-946B-57A744473674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2022-05-27T13:32:59Z</dcterms:modified>
</cp:coreProperties>
</file>